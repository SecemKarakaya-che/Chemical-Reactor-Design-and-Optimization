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70333320f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6df306fac6e4f45"/>
    <x:sheet xmlns:r="http://schemas.openxmlformats.org/officeDocument/2006/relationships" name="Kinetic_Model" sheetId="2" r:id="R3a6869ee8cec4e7c"/>
    <x:sheet xmlns:r="http://schemas.openxmlformats.org/officeDocument/2006/relationships" name="Parametric_Study" sheetId="3" r:id="R4787956b36a84e70"/>
    <x:sheet xmlns:r="http://schemas.openxmlformats.org/officeDocument/2006/relationships" name="Design_Summary" sheetId="4" r:id="R90f48647e0b6466d"/>
    <x:sheet xmlns:r="http://schemas.openxmlformats.org/officeDocument/2006/relationships" name="Sources" sheetId="5" r:id="R698b7bbc0abd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000"/>
    <x:numFmt numFmtId="203" formatCode="0.000"/>
  </x:numFmts>
  <x:fonts count="5">
    <x:font>
      <x:sz val="11"/>
      <x:name val="Carlito"/>
    </x:font>
    <x:font>
      <x:b/>
      <x:sz val="16"/>
      <x:color rgb="1F4E78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2" fillId="2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/>
    <x:xf numFmtId="202" fontId="2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201" fontId="3" fillId="3" borderId="0" xfId="0" applyNumberFormat="1" applyFont="1" applyFill="1" applyBorder="1" applyAlignment="1">
      <x:alignment horizont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2" fillId="2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fc8c6a8e9a4bae" /><Relationship Type="http://schemas.openxmlformats.org/officeDocument/2006/relationships/theme" Target="/xl/theme/theme1.xml" Id="Rffec4aa3a9fe46b6" /><Relationship Type="http://schemas.openxmlformats.org/officeDocument/2006/relationships/sharedStrings" Target="/xl/sharedStrings.xml" Id="Rdf044d46e57749f3" /><Relationship Type="http://schemas.openxmlformats.org/officeDocument/2006/relationships/worksheet" Target="/xl/worksheets/sheet1.xml" Id="Ra6df306fac6e4f45" /><Relationship Type="http://schemas.openxmlformats.org/officeDocument/2006/relationships/worksheet" Target="/xl/worksheets/sheet2.xml" Id="R3a6869ee8cec4e7c" /><Relationship Type="http://schemas.openxmlformats.org/officeDocument/2006/relationships/worksheet" Target="/xl/worksheets/sheet3.xml" Id="R4787956b36a84e70" /><Relationship Type="http://schemas.openxmlformats.org/officeDocument/2006/relationships/worksheet" Target="/xl/worksheets/sheet4.xml" Id="R90f48647e0b6466d" /><Relationship Type="http://schemas.openxmlformats.org/officeDocument/2006/relationships/worksheet" Target="/xl/worksheets/sheet5.xml" Id="R698b7bbc0abd43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5ac5779d9742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Yield versus Residence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k1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'Parametric_Study'!$C$4:$C$183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k2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'Parametric_Study'!$D$4:$D$183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k3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'Parametric_Study'!$E$4:$E$183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k4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'Parametric_Study'!$F$4:$F$183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k5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'Parametric_Study'!$G$4:$G$183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5"/>
          <c:order val="5"/>
          <c:tx>
            <c:v>Cs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'Parametric_Study'!$H$4:$H$183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6"/>
          <c:order val="6"/>
          <c:tx>
            <c:v>C14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'Parametric_Study'!$I$4:$I$183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7"/>
          <c:order val="7"/>
          <c:tx>
            <c:v>Ciso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'Parametric_Study'!$J$4:$J$183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8"/>
          <c:order val="8"/>
          <c:tx>
            <c:v>C15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'Parametric_Study'!$K$4:$K$183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9"/>
          <c:order val="9"/>
          <c:tx>
            <c:v>Others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'Parametric_Study'!$L$4:$L$183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Conversion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'Parametric_Study'!$M$4:$M$183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Yield</c:v>
          </c:tx>
          <c:cat>
            <c:strRef>
              <c:f>'Parametric_Study'!$B$4:$B$183</c:f>
              <c:strCache>
                <c:ptCount val="0"/>
              </c:strCache>
            </c:strRef>
          </c:cat>
          <c:val>
            <c:numRef>
              <c:f>'Parametric_Study'!$N$4:$N$183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7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5ac5779d97420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4a6fb300b2748b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6.799999237060547" hidden="0" customHeight="1">
      <x:c r="A1" s="41" t="str">
        <x:v>CHE 302 Final Reactor Design Workbook - Group 6</x:v>
      </x:c>
      <x:c r="B1" s="41"/>
      <x:c r="C1" s="41"/>
      <x:c r="D1" s="41"/>
      <x:c r="E1" s="41"/>
      <x:c r="F1" s="41"/>
    </x:row>
    <x:row r="2" ht="15" hidden="0" customHeight="1">
      <x:c r="B2" s="30"/>
      <x:c r="D2" s="30"/>
    </x:row>
    <x:row r="3" ht="15" hidden="0" customHeight="1">
      <x:c r="A3" s="8" t="str">
        <x:v>Parameter</x:v>
      </x:c>
      <x:c r="B3" s="31" t="str">
        <x:v>Value</x:v>
      </x:c>
      <x:c r="C3" s="8" t="str">
        <x:v>Unit</x:v>
      </x:c>
      <x:c r="D3" s="31" t="str">
        <x:v>Notes</x:v>
      </x:c>
    </x:row>
    <x:row r="4" ht="26.399999618530273" hidden="0" customHeight="1">
      <x:c r="A4" s="14" t="str">
        <x:v>Annual isosorbide production target</x:v>
      </x:c>
      <x:c r="B4" s="30" t="n">
        <x:v>5000</x:v>
      </x:c>
      <x:c r="C4" t="str">
        <x:v>ton/year</x:v>
      </x:c>
      <x:c r="D4" s="34" t="str">
        <x:v>Project target</x:v>
      </x:c>
    </x:row>
    <x:row r="5" ht="26.399999618530273" hidden="0" customHeight="1">
      <x:c r="A5" s="14" t="str">
        <x:v>Operating time</x:v>
      </x:c>
      <x:c r="B5" s="30" t="n">
        <x:v>8000</x:v>
      </x:c>
      <x:c r="C5" t="str">
        <x:v>h/year</x:v>
      </x:c>
      <x:c r="D5" s="34" t="str">
        <x:v>Assumption: continuous operation</x:v>
      </x:c>
    </x:row>
    <x:row r="6" ht="26.399999618530273" hidden="0" customHeight="1">
      <x:c r="A6" s="14" t="str">
        <x:v>Molecular weight of isosorbide</x:v>
      </x:c>
      <x:c r="B6" s="30" t="n">
        <x:v>146.14</x:v>
      </x:c>
      <x:c r="C6" t="str">
        <x:v>kg/kmol</x:v>
      </x:c>
      <x:c r="D6" s="34" t="str">
        <x:v>C6H10O4</x:v>
      </x:c>
    </x:row>
    <x:row r="7" ht="26.399999618530273" hidden="0" customHeight="1">
      <x:c r="A7" s="14" t="str">
        <x:v>Molecular weight of sorbitol</x:v>
      </x:c>
      <x:c r="B7" s="30" t="n">
        <x:v>182.17</x:v>
      </x:c>
      <x:c r="C7" t="str">
        <x:v>kg/kmol</x:v>
      </x:c>
      <x:c r="D7" s="34" t="str">
        <x:v>C6H14O6</x:v>
      </x:c>
    </x:row>
    <x:row r="8" ht="26.399999618530273" hidden="0" customHeight="1">
      <x:c r="A8" s="14" t="str">
        <x:v>Initial sorbitol concentration (Cs0)</x:v>
      </x:c>
      <x:c r="B8" s="30" t="n">
        <x:v>2</x:v>
      </x:c>
      <x:c r="C8" t="str">
        <x:v>kmol/m3</x:v>
      </x:c>
      <x:c r="D8" s="34" t="str">
        <x:v>Baseline design assumption</x:v>
      </x:c>
    </x:row>
    <x:row r="9" ht="39.599998474121094" hidden="0" customHeight="1">
      <x:c r="A9" s="14" t="str">
        <x:v>Selected catalyst</x:v>
      </x:c>
      <x:c r="B9" s="30" t="str">
        <x:v>H-Beta / MC-PhSO3H</x:v>
      </x:c>
      <x:c r="C9" t="str">
        <x:v>-</x:v>
      </x:c>
      <x:c r="D9" s="34" t="str">
        <x:v>Solid acid catalyst option from interim literature survey</x:v>
      </x:c>
    </x:row>
    <x:row r="10" ht="26.399999618530273" hidden="0" customHeight="1">
      <x:c r="A10" s="14" t="str">
        <x:v>Design reactor type</x:v>
      </x:c>
      <x:c r="B10" s="30" t="str">
        <x:v>Liquid-phase PFR</x:v>
      </x:c>
      <x:c r="C10" t="str">
        <x:v>-</x:v>
      </x:c>
      <x:c r="D10" s="34" t="str">
        <x:v>Selected based on literature survey</x:v>
      </x:c>
    </x:row>
    <x:row r="11" ht="15" hidden="0" customHeight="1">
      <x:c r="A11" s="14"/>
      <x:c r="B11" s="30"/>
      <x:c r="D11" s="34"/>
    </x:row>
    <x:row r="12" ht="15" hidden="0" customHeight="1">
      <x:c r="A12" s="8" t="str">
        <x:v>Temperature (K)</x:v>
      </x:c>
      <x:c r="B12" s="31" t="str">
        <x:v>k1 (h^-1)</x:v>
      </x:c>
      <x:c r="C12" s="8" t="str">
        <x:v>k2 (h^-1)</x:v>
      </x:c>
      <x:c r="D12" s="31" t="str">
        <x:v>k3 (h^-1)</x:v>
      </x:c>
      <x:c r="E12" s="8" t="str">
        <x:v>k4 (h^-1)</x:v>
      </x:c>
      <x:c r="F12" s="8" t="str">
        <x:v>k5 (h^-1)</x:v>
      </x:c>
    </x:row>
    <x:row r="13" ht="15" hidden="0" customHeight="1">
      <x:c r="A13" s="20" t="n">
        <x:v>393.15</x:v>
      </x:c>
      <x:c r="B13" s="30" t="n">
        <x:v>43.83</x:v>
      </x:c>
      <x:c r="C13" s="18" t="n">
        <x:v>14.29</x:v>
      </x:c>
      <x:c r="D13" s="34" t="n">
        <x:v>1.41</x:v>
      </x:c>
      <x:c r="E13" s="18" t="n">
        <x:v>1.67</x:v>
      </x:c>
      <x:c r="F13" s="18" t="n">
        <x:v>0.79</x:v>
      </x:c>
    </x:row>
    <x:row r="14" ht="15" hidden="0" customHeight="1">
      <x:c r="A14" s="20" t="n">
        <x:v>403.15</x:v>
      </x:c>
      <x:c r="B14" s="30" t="n">
        <x:v>76.2</x:v>
      </x:c>
      <x:c r="C14" s="18" t="n">
        <x:v>38.05</x:v>
      </x:c>
      <x:c r="D14" s="34" t="n">
        <x:v>1.97</x:v>
      </x:c>
      <x:c r="E14" s="18" t="n">
        <x:v>2.6</x:v>
      </x:c>
      <x:c r="F14" s="18" t="n">
        <x:v>3.3</x:v>
      </x:c>
    </x:row>
    <x:row r="15" ht="15" hidden="0" customHeight="1">
      <x:c r="A15" s="20" t="n">
        <x:v>423.15</x:v>
      </x:c>
      <x:c r="B15" s="30" t="n">
        <x:v>221.9</x:v>
      </x:c>
      <x:c r="C15" s="18" t="n">
        <x:v>103.31</x:v>
      </x:c>
      <x:c r="D15" s="34" t="n">
        <x:v>8.8</x:v>
      </x:c>
      <x:c r="E15" s="18" t="n">
        <x:v>12.12</x:v>
      </x:c>
      <x:c r="F15" s="18" t="n">
        <x:v>4.94</x:v>
      </x:c>
    </x:row>
    <x:row r="16" ht="15" hidden="0" customHeight="1">
      <x:c r="A16" s="14"/>
      <x:c r="B16" s="30"/>
      <x:c r="D16" s="34"/>
    </x:row>
    <x:row r="17" ht="15" hidden="0" customHeight="1">
      <x:c r="A17" s="8" t="str">
        <x:v>Derived quantity</x:v>
      </x:c>
      <x:c r="B17" s="31" t="str">
        <x:v>Formula</x:v>
      </x:c>
      <x:c r="C17" s="8" t="str">
        <x:v>Unit</x:v>
      </x:c>
      <x:c r="D17" s="31" t="str">
        <x:v>Explanation</x:v>
      </x:c>
    </x:row>
    <x:row r="18" ht="26.399999618530273" hidden="0" customHeight="1">
      <x:c r="A18" s="14" t="str">
        <x:v>Product molar flow rate</x:v>
      </x:c>
      <x:c r="B18" s="30" t="n">
        <x:f>B4*1000/B5/B6</x:f>
        <x:v>4.276720952511291</x:v>
      </x:c>
      <x:c r="C18" t="str">
        <x:v>kmol/h</x:v>
      </x:c>
      <x:c r="D18" s="34" t="str">
        <x:v>5000 ton/year converted to kmol/h</x:v>
      </x:c>
    </x:row>
    <x:row r="19" ht="26.399999618530273" hidden="0" customHeight="1">
      <x:c r="A19" s="14" t="str">
        <x:v>Target production rate</x:v>
      </x:c>
      <x:c r="B19" s="30" t="n">
        <x:f>B4*1000/B5</x:f>
        <x:v>625</x:v>
      </x:c>
      <x:c r="C19" t="str">
        <x:v>kg/h</x:v>
      </x:c>
      <x:c r="D19" s="34" t="str">
        <x:v>Annual mass divided by operating hours</x:v>
      </x:c>
    </x:row>
    <x:row r="20" ht="26.399999618530273" hidden="0" customHeight="1">
      <x:c r="A20" s="14" t="str">
        <x:v>Baseline sorbitol feed if 100% yield</x:v>
      </x:c>
      <x:c r="B20" s="30" t="n">
        <x:f>B18</x:f>
        <x:v>4.276720952511291</x:v>
      </x:c>
      <x:c r="C20" t="str">
        <x:v>kmol/h</x:v>
      </x:c>
      <x:c r="D20" s="34" t="str">
        <x:v>Minimum theoretical sorbitol molar feed</x:v>
      </x:c>
    </x:row>
    <x:row r="21" ht="26.399999618530273" hidden="0" customHeight="1">
      <x:c r="A21" s="14" t="str">
        <x:v>Baseline volumetric flow if 100% yield</x:v>
      </x:c>
      <x:c r="B21" s="30" t="n">
        <x:f>B20/B8</x:f>
        <x:v>2.1383604762556456</x:v>
      </x:c>
      <x:c r="C21" t="str">
        <x:v>m3/h</x:v>
      </x:c>
      <x:c r="D21" s="34" t="str">
        <x:v>Based on Cs0</x:v>
      </x:c>
    </x:row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16.799999237060547" hidden="0" customHeight="1">
      <x:c r="A1" s="41" t="str">
        <x:v>Kinetic Model and Baseline Manual Calculation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</x:row>
    <x:row r="2"/>
    <x:row r="3" ht="52.79999923706055" hidden="0" customHeight="1">
      <x:c r="A3" s="47" t="str">
        <x:v>Reaction network</x:v>
      </x:c>
      <x:c r="B3" s="47" t="str">
        <x:v>Sorbitol --k1--&gt; 1,4-sorbitan --k2--&gt; Isosorbide</x:v>
      </x:c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</x:row>
    <x:row r="4" ht="15" hidden="0" customHeight="1">
      <x:c r="A4" s="48" t="str">
        <x:v>Side reaction 1</x:v>
      </x:c>
      <x:c r="B4" s="50" t="str">
        <x:v>Sorbitol --k3--&gt; 1,5-sorbitan</x:v>
      </x:c>
      <x:c r="C4" s="18"/>
      <x:c r="D4" s="18"/>
      <x:c r="E4" s="18"/>
      <x:c r="F4" s="18"/>
      <x:c r="G4" s="18"/>
      <x:c r="H4" s="30"/>
      <x:c r="I4" s="30"/>
      <x:c r="J4" s="30"/>
      <x:c r="K4" s="30"/>
      <x:c r="L4" s="30"/>
      <x:c r="M4" s="30"/>
    </x:row>
    <x:row r="5" ht="15" hidden="0" customHeight="1">
      <x:c r="A5" s="48" t="str">
        <x:v>Side reaction 2</x:v>
      </x:c>
      <x:c r="B5" s="50" t="str">
        <x:v>1,4-sorbitan --k4--&gt; Others/Humins</x:v>
      </x:c>
      <x:c r="C5" s="18"/>
      <x:c r="D5" s="18"/>
      <x:c r="E5" s="18"/>
      <x:c r="F5" s="18"/>
      <x:c r="G5" s="18"/>
      <x:c r="H5" s="30"/>
      <x:c r="I5" s="30"/>
      <x:c r="J5" s="30"/>
      <x:c r="K5" s="30"/>
      <x:c r="L5" s="30"/>
      <x:c r="M5" s="30"/>
    </x:row>
    <x:row r="6" ht="15" hidden="0" customHeight="1">
      <x:c r="A6" s="48" t="str">
        <x:v>Side reaction 3</x:v>
      </x:c>
      <x:c r="B6" s="50" t="str">
        <x:v>Isosorbide --k5--&gt; Others/Humins</x:v>
      </x:c>
      <x:c r="C6" s="18"/>
      <x:c r="D6" s="18"/>
      <x:c r="E6" s="18"/>
      <x:c r="F6" s="18"/>
      <x:c r="G6" s="18"/>
      <x:c r="H6" s="30"/>
      <x:c r="I6" s="30"/>
      <x:c r="J6" s="30"/>
      <x:c r="K6" s="30"/>
      <x:c r="L6" s="30"/>
      <x:c r="M6" s="30"/>
    </x:row>
    <x:row r="7" ht="15" hidden="0" customHeight="1">
      <x:c r="A7" s="48" t="str">
        <x:v>dCs/dtau</x:v>
      </x:c>
      <x:c r="B7" s="50" t="str">
        <x:v>=-(k1+k3)Cs</x:v>
      </x:c>
      <x:c r="C7" s="18"/>
      <x:c r="D7" s="18"/>
      <x:c r="E7" s="18"/>
      <x:c r="F7" s="18"/>
      <x:c r="G7" s="18"/>
      <x:c r="H7" s="30"/>
      <x:c r="I7" s="30"/>
      <x:c r="J7" s="30"/>
      <x:c r="K7" s="30"/>
      <x:c r="L7" s="30"/>
      <x:c r="M7" s="30"/>
    </x:row>
    <x:row r="8" ht="15" hidden="0" customHeight="1">
      <x:c r="A8" s="48" t="str">
        <x:v>dC14/dtau</x:v>
      </x:c>
      <x:c r="B8" s="50" t="str">
        <x:v>=k1Cs-(k2+k4)C14</x:v>
      </x:c>
      <x:c r="C8" s="18"/>
      <x:c r="D8" s="18"/>
      <x:c r="E8" s="18"/>
      <x:c r="F8" s="18"/>
      <x:c r="G8" s="18"/>
      <x:c r="H8" s="30"/>
      <x:c r="I8" s="30"/>
      <x:c r="J8" s="30"/>
      <x:c r="K8" s="30"/>
      <x:c r="L8" s="30"/>
      <x:c r="M8" s="30"/>
    </x:row>
    <x:row r="9" ht="15" hidden="0" customHeight="1">
      <x:c r="A9" s="48" t="str">
        <x:v>dCiso/dtau</x:v>
      </x:c>
      <x:c r="B9" s="50" t="str">
        <x:v>=k2C14-k5Ciso</x:v>
      </x:c>
      <x:c r="C9" s="18"/>
      <x:c r="D9" s="18"/>
      <x:c r="E9" s="18"/>
      <x:c r="F9" s="18"/>
      <x:c r="G9" s="18"/>
      <x:c r="H9" s="30"/>
      <x:c r="I9" s="30"/>
      <x:c r="J9" s="30"/>
      <x:c r="K9" s="30"/>
      <x:c r="L9" s="30"/>
      <x:c r="M9" s="30"/>
    </x:row>
    <x:row r="10" ht="15" hidden="0" customHeight="1">
      <x:c r="A10" s="48" t="str">
        <x:v>dC15/dtau</x:v>
      </x:c>
      <x:c r="B10" s="50" t="str">
        <x:v>=k3Cs</x:v>
      </x:c>
      <x:c r="C10" s="18"/>
      <x:c r="D10" s="18"/>
      <x:c r="E10" s="18"/>
      <x:c r="F10" s="18"/>
      <x:c r="G10" s="18"/>
      <x:c r="H10" s="30"/>
      <x:c r="I10" s="30"/>
      <x:c r="J10" s="30"/>
      <x:c r="K10" s="30"/>
      <x:c r="L10" s="30"/>
      <x:c r="M10" s="30"/>
    </x:row>
    <x:row r="11" ht="15" hidden="0" customHeight="1">
      <x:c r="A11" s="48" t="str">
        <x:v>dCoth/dtau</x:v>
      </x:c>
      <x:c r="B11" s="50" t="str">
        <x:v>=k4C14+k5Ciso</x:v>
      </x:c>
      <x:c r="C11" s="18"/>
      <x:c r="D11" s="18"/>
      <x:c r="E11" s="18"/>
      <x:c r="F11" s="18"/>
      <x:c r="G11" s="18"/>
      <x:c r="H11" s="30"/>
      <x:c r="I11" s="30"/>
      <x:c r="J11" s="30"/>
      <x:c r="K11" s="30"/>
      <x:c r="L11" s="30"/>
      <x:c r="M11" s="30"/>
    </x:row>
    <x:row r="12" ht="15" hidden="0" customHeight="1">
      <x:c r="A12" s="18"/>
      <x:c r="B12" s="50"/>
      <x:c r="C12" s="18"/>
      <x:c r="D12" s="18"/>
      <x:c r="E12" s="18"/>
      <x:c r="F12" s="18"/>
      <x:c r="G12" s="18"/>
      <x:c r="H12" s="30"/>
      <x:c r="I12" s="30"/>
      <x:c r="J12" s="30"/>
      <x:c r="K12" s="30"/>
      <x:c r="L12" s="30"/>
      <x:c r="M12" s="30"/>
    </x:row>
    <x:row r="13" ht="15" hidden="0" customHeight="1">
      <x:c r="A13" s="49" t="str">
        <x:v>Temperature K</x:v>
      </x:c>
      <x:c r="B13" s="51" t="str">
        <x:v>tau h</x:v>
      </x:c>
      <x:c r="C13" s="49" t="str">
        <x:v>Cs0</x:v>
      </x:c>
      <x:c r="D13" s="49" t="str">
        <x:v>k1</x:v>
      </x:c>
      <x:c r="E13" s="49" t="str">
        <x:v>k2</x:v>
      </x:c>
      <x:c r="F13" s="49" t="str">
        <x:v>k3</x:v>
      </x:c>
      <x:c r="G13" s="49" t="str">
        <x:v>k4</x:v>
      </x:c>
      <x:c r="H13" s="31" t="str">
        <x:v>k5</x:v>
      </x:c>
      <x:c r="I13" s="31" t="str">
        <x:v>Cs</x:v>
      </x:c>
      <x:c r="J13" s="31" t="str">
        <x:v>C14</x:v>
      </x:c>
      <x:c r="K13" s="31" t="str">
        <x:v>Ciso</x:v>
      </x:c>
      <x:c r="L13" s="31" t="str">
        <x:v>Yield</x:v>
      </x:c>
      <x:c r="M13" s="31" t="str">
        <x:v>Selectivity</x:v>
      </x:c>
    </x:row>
    <x:row r="14" ht="15" hidden="0" customHeight="1">
      <x:c r="A14" s="18" t="n">
        <x:v>423.15</x:v>
      </x:c>
      <x:c r="B14" s="50" t="n">
        <x:v>0.0344353923</x:v>
      </x:c>
      <x:c r="C14" s="18" t="n">
        <x:f>Inputs!B8</x:f>
        <x:v>2</x:v>
      </x:c>
      <x:c r="D14" s="18" t="n">
        <x:f>VLOOKUP(A14,Inputs!$A$13:$F$15,2,FALSE)</x:f>
        <x:v>221.9</x:v>
      </x:c>
      <x:c r="E14" s="18" t="n">
        <x:f>VLOOKUP(A14,Inputs!$A$13:$F$15,3,FALSE)</x:f>
        <x:v>103.31</x:v>
      </x:c>
      <x:c r="F14" s="18" t="n">
        <x:f>VLOOKUP(A14,Inputs!$A$13:$F$15,4,FALSE)</x:f>
        <x:v>8.8</x:v>
      </x:c>
      <x:c r="G14" s="18" t="n">
        <x:f>VLOOKUP(A14,Inputs!$A$13:$F$15,5,FALSE)</x:f>
        <x:v>12.12</x:v>
      </x:c>
      <x:c r="H14" s="30" t="n">
        <x:f>VLOOKUP(A14,Inputs!$A$13:$F$15,6,FALSE)</x:f>
        <x:v>4.94</x:v>
      </x:c>
      <x:c r="I14" s="30" t="n">
        <x:f>C14*EXP(-(D14+F14)*B14)</x:f>
        <x:v>0.0007093951708289273</x:v>
      </x:c>
      <x:c r="J14" s="30" t="n">
        <x:f>D14*C14/(E14+G14-D14-F14)*(EXP(-(D14+F14)*B14)-EXP(-(E14+G14)*B14))</x:f>
        <x:v>0.0709452729591445</x:v>
      </x:c>
      <x:c r="K14" s="30" t="n">
        <x:f>E14*D14*C14/(E14+G14-D14-F14)*((EXP(-(D14+F14)*B14)-EXP(-H14*B14))/(H14-D14-F14)-(EXP(-(E14+G14)*B14)-EXP(-H14*B14))/(H14-E14-G14))</x:f>
        <x:v>1.4835477310771603</x:v>
      </x:c>
      <x:c r="L14" s="30" t="n">
        <x:f>K14/C14</x:f>
        <x:v>0.7417738655385802</x:v>
      </x:c>
      <x:c r="M14" s="30" t="n">
        <x:f>K14/(C14-I14)</x:f>
        <x:v>0.7420370642935732</x:v>
      </x:c>
    </x:row>
    <x:row r="15" ht="15" hidden="0" customHeight="1">
      <x:c r="A15" s="18"/>
      <x:c r="B15" s="50"/>
      <x:c r="C15" s="18"/>
      <x:c r="D15" s="18"/>
      <x:c r="E15" s="18"/>
      <x:c r="F15" s="18"/>
      <x:c r="G15" s="18"/>
      <x:c r="H15" s="30"/>
      <x:c r="I15" s="30"/>
      <x:c r="J15" s="30"/>
      <x:c r="K15" s="30"/>
      <x:c r="L15" s="30"/>
      <x:c r="M15" s="30"/>
    </x:row>
    <x:row r="16" ht="26.399999618530273" hidden="0" customHeight="1">
      <x:c r="A16" s="49" t="str">
        <x:v>Manual sizing formulas</x:v>
      </x:c>
      <x:c r="B16" s="51" t="str">
        <x:v>Formula</x:v>
      </x:c>
      <x:c r="C16" s="49" t="str"/>
      <x:c r="D16" s="49" t="str"/>
      <x:c r="E16" s="49" t="str"/>
      <x:c r="F16" s="49" t="str"/>
      <x:c r="G16" s="18"/>
      <x:c r="H16" s="30"/>
      <x:c r="I16" s="30"/>
      <x:c r="J16" s="30"/>
      <x:c r="K16" s="30"/>
      <x:c r="L16" s="30"/>
      <x:c r="M16" s="30"/>
    </x:row>
    <x:row r="17" ht="15" hidden="0" customHeight="1">
      <x:c r="A17" s="18" t="str">
        <x:v>Fiso target</x:v>
      </x:c>
      <x:c r="B17" s="50" t="n">
        <x:f>Inputs!B18</x:f>
        <x:v>4.276720952511291</x:v>
      </x:c>
      <x:c r="C17" s="18" t="str">
        <x:v>kmol/h</x:v>
      </x:c>
      <x:c r="D17" s="18"/>
      <x:c r="E17" s="18"/>
      <x:c r="F17" s="18"/>
      <x:c r="G17" s="18"/>
      <x:c r="H17" s="30"/>
      <x:c r="I17" s="30"/>
      <x:c r="J17" s="30"/>
      <x:c r="K17" s="30"/>
      <x:c r="L17" s="30"/>
      <x:c r="M17" s="30"/>
    </x:row>
    <x:row r="18" ht="15" hidden="0" customHeight="1">
      <x:c r="A18" s="18" t="str">
        <x:v>Yield at selected T/tau</x:v>
      </x:c>
      <x:c r="B18" s="50" t="n">
        <x:f>L14</x:f>
        <x:v>0.7417738655385802</x:v>
      </x:c>
      <x:c r="C18" s="18" t="str">
        <x:v>kmol iso/kmol sorbitol</x:v>
      </x:c>
      <x:c r="D18" s="18"/>
      <x:c r="E18" s="18"/>
      <x:c r="F18" s="18"/>
      <x:c r="G18" s="18"/>
      <x:c r="H18" s="30"/>
      <x:c r="I18" s="30"/>
      <x:c r="J18" s="30"/>
      <x:c r="K18" s="30"/>
      <x:c r="L18" s="30"/>
      <x:c r="M18" s="30"/>
    </x:row>
    <x:row r="19" ht="15" hidden="0" customHeight="1">
      <x:c r="A19" s="18" t="str">
        <x:v>Required sorbitol feed</x:v>
      </x:c>
      <x:c r="B19" s="50" t="n">
        <x:f>B17/B18</x:f>
        <x:v>5.7655319918909385</x:v>
      </x:c>
      <x:c r="C19" s="18" t="str">
        <x:v>kmol/h</x:v>
      </x:c>
      <x:c r="D19" s="18"/>
      <x:c r="E19" s="18"/>
      <x:c r="F19" s="18"/>
      <x:c r="G19" s="18"/>
      <x:c r="H19" s="30"/>
      <x:c r="I19" s="30"/>
      <x:c r="J19" s="30"/>
      <x:c r="K19" s="30"/>
      <x:c r="L19" s="30"/>
      <x:c r="M19" s="30"/>
    </x:row>
    <x:row r="20" ht="15" hidden="0" customHeight="1">
      <x:c r="A20" s="18" t="str">
        <x:v>Volumetric flow</x:v>
      </x:c>
      <x:c r="B20" s="50" t="n">
        <x:f>B19/Inputs!B8</x:f>
        <x:v>2.8827659959454692</x:v>
      </x:c>
      <x:c r="C20" s="18" t="str">
        <x:v>m3/h</x:v>
      </x:c>
      <x:c r="D20" s="18"/>
      <x:c r="E20" s="18"/>
      <x:c r="F20" s="18"/>
      <x:c r="G20" s="18"/>
      <x:c r="H20" s="30"/>
      <x:c r="I20" s="30"/>
      <x:c r="J20" s="30"/>
      <x:c r="K20" s="30"/>
      <x:c r="L20" s="30"/>
      <x:c r="M20" s="30"/>
    </x:row>
    <x:row r="21" ht="15" hidden="0" customHeight="1">
      <x:c r="A21" s="18" t="str">
        <x:v>PFR volume</x:v>
      </x:c>
      <x:c r="B21" s="50" t="n">
        <x:f>B20*B14</x:f>
        <x:v>0.09926917797948244</x:v>
      </x:c>
      <x:c r="C21" s="18" t="str">
        <x:v>m3</x:v>
      </x:c>
      <x:c r="D21" s="18"/>
      <x:c r="E21" s="18"/>
      <x:c r="F21" s="18"/>
      <x:c r="G21" s="18"/>
      <x:c r="H21" s="30"/>
      <x:c r="I21" s="30"/>
      <x:c r="J21" s="30"/>
      <x:c r="K21" s="30"/>
      <x:c r="L21" s="30"/>
      <x:c r="M21" s="30"/>
    </x:row>
    <x:row r="22" ht="15" hidden="0" customHeight="1">
      <x:c r="A22" s="18" t="str">
        <x:v>Residence time</x:v>
      </x:c>
      <x:c r="B22" s="50" t="n">
        <x:f>B14</x:f>
        <x:v>0.0344353923</x:v>
      </x:c>
      <x:c r="C22" s="18" t="str">
        <x:v>h</x:v>
      </x:c>
      <x:c r="D22" s="18"/>
      <x:c r="E22" s="18"/>
      <x:c r="F22" s="18"/>
      <x:c r="G22" s="18"/>
      <x:c r="H22" s="30"/>
      <x:c r="I22" s="30"/>
      <x:c r="J22" s="30"/>
      <x:c r="K22" s="30"/>
      <x:c r="L22" s="30"/>
      <x:c r="M22" s="30"/>
    </x:row>
    <x:row r="23" ht="15" hidden="0" customHeight="1">
      <x:c r="A23" s="18" t="str">
        <x:v>Conversion</x:v>
      </x:c>
      <x:c r="B23" s="50" t="n">
        <x:f>(C14-I14)/C14</x:f>
        <x:v>0.9996453024145855</x:v>
      </x:c>
      <x:c r="C23" s="18" t="str">
        <x:v>-</x:v>
      </x:c>
      <x:c r="D23" s="18"/>
      <x:c r="E23" s="18"/>
      <x:c r="F23" s="18"/>
      <x:c r="G23" s="18"/>
      <x:c r="H23" s="30"/>
      <x:c r="I23" s="30"/>
      <x:c r="J23" s="30"/>
      <x:c r="K23" s="30"/>
      <x:c r="L23" s="30"/>
      <x:c r="M23" s="30"/>
    </x:row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34" hidden="0" customWidth="1"/>
    <x:col min="16" max="16" width="4" hidden="0" customWidth="1"/>
  </x:cols>
  <x:sheetData>
    <x:row r="1" ht="16.799999237060547" hidden="0" customHeight="1">
      <x:c r="A1" s="41" t="str">
        <x:v>Parametric Study: Group 6 Reaction Temperature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/>
    <x:row r="3" ht="26.399999618530273" hidden="0" customHeight="1">
      <x:c r="A3" s="47" t="str">
        <x:v>Temperature K</x:v>
      </x:c>
      <x:c r="B3" s="47" t="str">
        <x:v>tau h</x:v>
      </x:c>
      <x:c r="C3" s="47" t="str">
        <x:v>k1</x:v>
      </x:c>
      <x:c r="D3" s="47" t="str">
        <x:v>k2</x:v>
      </x:c>
      <x:c r="E3" s="47" t="str">
        <x:v>k3</x:v>
      </x:c>
      <x:c r="F3" s="47" t="str">
        <x:v>k4</x:v>
      </x:c>
      <x:c r="G3" s="47" t="str">
        <x:v>k5</x:v>
      </x:c>
      <x:c r="H3" s="47" t="str">
        <x:v>Cs</x:v>
      </x:c>
      <x:c r="I3" s="47" t="str">
        <x:v>C14</x:v>
      </x:c>
      <x:c r="J3" s="47" t="str">
        <x:v>Ciso</x:v>
      </x:c>
      <x:c r="K3" s="47" t="str">
        <x:v>C15</x:v>
      </x:c>
      <x:c r="L3" s="47" t="str">
        <x:v>Others</x:v>
      </x:c>
      <x:c r="M3" s="47" t="str">
        <x:v>Conversion</x:v>
      </x:c>
      <x:c r="N3" s="47" t="str">
        <x:v>Yield</x:v>
      </x:c>
      <x:c r="O3" s="47" t="str">
        <x:v>Selectivity</x:v>
      </x:c>
      <x:c r="P3" s="47"/>
      <x:c r="Q3" s="47" t="str">
        <x:v>Temperature K</x:v>
      </x:c>
      <x:c r="R3" s="47" t="str">
        <x:v>Max Yield</x:v>
      </x:c>
      <x:c r="S3" s="47" t="str">
        <x:v>Optimum tau h</x:v>
      </x:c>
      <x:c r="T3" s="47" t="str">
        <x:v>Ciso at optimum</x:v>
      </x:c>
      <x:c r="U3" s="47" t="str">
        <x:v>Conversion</x:v>
      </x:c>
      <x:c r="V3" s="47" t="str">
        <x:v>Selectivity</x:v>
      </x:c>
      <x:c r="W3" s="47" t="str">
        <x:v>Required Fs0 kmol/h</x:v>
      </x:c>
      <x:c r="X3" s="47" t="str">
        <x:v>v0 m3/h</x:v>
      </x:c>
      <x:c r="Y3" s="47" t="str">
        <x:v>Reactor Volume m3</x:v>
      </x:c>
      <x:c r="Z3" s="47" t="str">
        <x:v>Design comment</x:v>
      </x:c>
    </x:row>
    <x:row r="4" ht="26.399999618530273" hidden="0" customHeight="1">
      <x:c r="A4" s="18" t="n">
        <x:v>393.15</x:v>
      </x:c>
      <x:c r="B4" s="50" t="n">
        <x:v>0.005</x:v>
      </x:c>
      <x:c r="C4" s="18" t="n">
        <x:f>VLOOKUP(A4,Inputs!$A$13:$F$15,2,FALSE)</x:f>
        <x:v>43.83</x:v>
      </x:c>
      <x:c r="D4" s="18" t="n">
        <x:f>VLOOKUP(A4,Inputs!$A$13:$F$15,3,FALSE)</x:f>
        <x:v>14.29</x:v>
      </x:c>
      <x:c r="E4" s="18" t="n">
        <x:f>VLOOKUP(A4,Inputs!$A$13:$F$15,4,FALSE)</x:f>
        <x:v>1.41</x:v>
      </x:c>
      <x:c r="F4" s="18" t="n">
        <x:f>VLOOKUP(A4,Inputs!$A$13:$F$15,5,FALSE)</x:f>
        <x:v>1.67</x:v>
      </x:c>
      <x:c r="G4" s="18" t="n">
        <x:f>VLOOKUP(A4,Inputs!$A$13:$F$15,6,FALSE)</x:f>
        <x:v>0.79</x:v>
      </x:c>
      <x:c r="H4" s="30" t="n">
        <x:f>Inputs!$B$8*EXP(-(C4+E4)*B4)</x:f>
        <x:v>1.5951171479972792</x:v>
      </x:c>
      <x:c r="I4" s="30" t="n">
        <x:f>C4*Inputs!$B$8/(D4+F4-C4-E4)*(EXP(-(C4+E4)*B4)-EXP(-(D4+F4)*B4))</x:f>
        <x:v>0.37645423571830855</x:v>
      </x:c>
      <x:c r="J4" s="30" t="n">
        <x:f>D4*C4*Inputs!$B$8/(D4+F4-C4-E4)*((EXP(-(C4+E4)*B4)-EXP(-G4*B4))/(G4-C4-E4)-(EXP(-(D4+F4)*B4)-EXP(-G4*B4))/(G4-D4-F4))</x:f>
        <x:v>0.014136231580711195</x:v>
      </x:c>
      <x:c r="K4" s="30" t="n">
        <x:f>E4*Inputs!$B$8/(C4+E4)*(1-EXP(-(C4+E4)*B4))</x:f>
        <x:v>0.012619027880721405</x:v>
      </x:c>
      <x:c r="L4" s="30" t="n">
        <x:f>Inputs!$B$8-H4-I4-J4-K4</x:f>
        <x:v>0.0016733568229796332</x:v>
      </x:c>
      <x:c r="M4" s="30" t="n">
        <x:f>(Inputs!$B$8-H4)/Inputs!$B$8</x:f>
        <x:v>0.2024414260013604</x:v>
      </x:c>
      <x:c r="N4" s="30" t="n">
        <x:f>J4/Inputs!$B$8</x:f>
        <x:v>0.007068115790355598</x:v>
      </x:c>
      <x:c r="O4" s="30" t="n">
        <x:f>J4/(Inputs!$B$8-H4)</x:f>
        <x:v>0.03491437464142394</x:v>
      </x:c>
      <x:c r="P4" s="30"/>
      <x:c r="Q4" s="20" t="n">
        <x:v>393.15</x:v>
      </x:c>
      <x:c r="R4" s="34" t="n">
        <x:f>MAXIFS($N$4:$N$183,$A$4:$A$183,Q4)</x:f>
        <x:v>0.7387307330136702</x:v>
      </x:c>
      <x:c r="S4" s="52" t="n">
        <x:f>INDEX($B$4:$B$183,MATCH(1,($A$4:$A$183=Q4)*($N$4:$N$183=R4),0))</x:f>
        <x:v>0.225</x:v>
      </x:c>
      <x:c r="T4" s="34" t="n">
        <x:f>INDEX($J$4:$J$183,MATCH(1,($A$4:$A$183=Q4)*($N$4:$N$183=R4),0))</x:f>
        <x:v>1.4774614660273404</x:v>
      </x:c>
      <x:c r="U4" s="34" t="n">
        <x:f>INDEX($M$4:$M$183,MATCH(1,($A$4:$A$183=Q4)*($N$4:$N$183=R4),0))</x:f>
        <x:v>0.9999620408508934</x:v>
      </x:c>
      <x:c r="V4" s="34" t="n">
        <x:f>INDEX($O$4:$O$183,MATCH(1,($A$4:$A$183=Q4)*($N$4:$N$183=R4),0))</x:f>
        <x:v>0.7387587756681896</x:v>
      </x:c>
      <x:c r="W4" s="34" t="n">
        <x:f>Inputs!$B$18/R4</x:f>
        <x:v>5.7892825645202315</x:v>
      </x:c>
      <x:c r="X4" s="34" t="n">
        <x:f>W4/Inputs!$B$8</x:f>
        <x:v>2.8946412822601157</x:v>
      </x:c>
      <x:c r="Y4" s="34" t="n">
        <x:f>X4*S4</x:f>
        <x:v>0.6512942885085261</x:v>
      </x:c>
      <x:c r="Z4" s="34" t="str">
        <x:f>IF(Q4=423.15,"Highest yield and smallest volume; heat management required",IF(Q4=403.15,"Middle temperature; lowest yield in grid","Lowest temperature; larger reactor volume"))</x:f>
        <x:v>Lowest temperature; larger reactor volume</x:v>
      </x:c>
    </x:row>
    <x:row r="5" ht="15" hidden="0" customHeight="1">
      <x:c r="A5" s="18" t="n">
        <x:v>393.15</x:v>
      </x:c>
      <x:c r="B5" s="50" t="n">
        <x:v>0.01</x:v>
      </x:c>
      <x:c r="C5" s="18" t="n">
        <x:f>VLOOKUP(A5,Inputs!$A$13:$F$15,2,FALSE)</x:f>
        <x:v>43.83</x:v>
      </x:c>
      <x:c r="D5" s="18" t="n">
        <x:f>VLOOKUP(A5,Inputs!$A$13:$F$15,3,FALSE)</x:f>
        <x:v>14.29</x:v>
      </x:c>
      <x:c r="E5" s="18" t="n">
        <x:f>VLOOKUP(A5,Inputs!$A$13:$F$15,4,FALSE)</x:f>
        <x:v>1.41</x:v>
      </x:c>
      <x:c r="F5" s="18" t="n">
        <x:f>VLOOKUP(A5,Inputs!$A$13:$F$15,5,FALSE)</x:f>
        <x:v>1.67</x:v>
      </x:c>
      <x:c r="G5" s="18" t="n">
        <x:f>VLOOKUP(A5,Inputs!$A$13:$F$15,6,FALSE)</x:f>
        <x:v>0.79</x:v>
      </x:c>
      <x:c r="H5" s="30" t="n">
        <x:f>Inputs!$B$8*EXP(-(C5+E5)*B5)</x:f>
        <x:v>1.272199357917487</x:v>
      </x:c>
      <x:c r="I5" s="30" t="n">
        <x:f>C5*Inputs!$B$8/(D5+F5-C5-E5)*(EXP(-(C5+E5)*B5)-EXP(-(D5+F5)*B5))</x:f>
        <x:v>0.6478248712357163</x:v>
      </x:c>
      <x:c r="J5" s="30" t="n">
        <x:f>D5*C5*Inputs!$B$8/(D5+F5-C5-E5)*((EXP(-(C5+E5)*B5)-EXP(-G5*B5))/(G5-C5-E5)-(EXP(-(D5+F5)*B5)-EXP(-G5*B5))/(G5-D5-F5))</x:f>
        <x:v>0.05115573296438448</x:v>
      </x:c>
      <x:c r="K5" s="30" t="n">
        <x:f>E5*Inputs!$B$8/(C5+E5)*(1-EXP(-(C5+E5)*B5))</x:f>
        <x:v>0.02268344176251864</x:v>
      </x:c>
      <x:c r="L5" s="30" t="n">
        <x:f>Inputs!$B$8-H5-I5-J5-K5</x:f>
        <x:v>0.006136596119893516</x:v>
      </x:c>
      <x:c r="M5" s="30" t="n">
        <x:f>(Inputs!$B$8-H5)/Inputs!$B$8</x:f>
        <x:v>0.36390032104125647</x:v>
      </x:c>
      <x:c r="N5" s="30" t="n">
        <x:f>J5/Inputs!$B$8</x:f>
        <x:v>0.02557786648219224</x:v>
      </x:c>
      <x:c r="O5" s="30" t="n">
        <x:f>J5/(Inputs!$B$8-H5)</x:f>
        <x:v>0.070288111890103</x:v>
      </x:c>
      <x:c r="P5" s="30"/>
      <x:c r="Q5" s="20" t="n">
        <x:v>403.15</x:v>
      </x:c>
      <x:c r="R5" s="34" t="n">
        <x:f>MAXIFS($N$4:$N$183,$A$4:$A$183,Q5)</x:f>
        <x:v>0.7192400028560763</x:v>
      </x:c>
      <x:c r="S5" s="52" t="n">
        <x:f>INDEX($B$4:$B$183,MATCH(1,($A$4:$A$183=Q5)*($N$4:$N$183=R5),0))</x:f>
        <x:v>0.085</x:v>
      </x:c>
      <x:c r="T5" s="34" t="n">
        <x:f>INDEX($J$4:$J$183,MATCH(1,($A$4:$A$183=Q5)*($N$4:$N$183=R5),0))</x:f>
        <x:v>1.4384800057121525</x:v>
      </x:c>
      <x:c r="U5" s="34" t="n">
        <x:f>INDEX($M$4:$M$183,MATCH(1,($A$4:$A$183=Q5)*($N$4:$N$183=R5),0))</x:f>
        <x:v>0.99869877610537</x:v>
      </x:c>
      <x:c r="V5" s="34" t="n">
        <x:f>INDEX($O$4:$O$183,MATCH(1,($A$4:$A$183=Q5)*($N$4:$N$183=R5),0))</x:f>
        <x:v>0.7201771145258631</x:v>
      </x:c>
      <x:c r="W5" s="34" t="n">
        <x:f>Inputs!$B$18/R5</x:f>
        <x:v>5.94616669752598</x:v>
      </x:c>
      <x:c r="X5" s="34" t="n">
        <x:f>W5/Inputs!$B$8</x:f>
        <x:v>2.97308334876299</x:v>
      </x:c>
      <x:c r="Y5" s="34" t="n">
        <x:f>X5*S5</x:f>
        <x:v>0.2527120846448542</x:v>
      </x:c>
      <x:c r="Z5" s="34" t="str">
        <x:f>IF(Q5=423.15,"Highest yield and smallest volume; heat management required",IF(Q5=403.15,"Middle temperature; lowest yield in grid","Lowest temperature; larger reactor volume"))</x:f>
        <x:v>Middle temperature; lowest yield in grid</x:v>
      </x:c>
    </x:row>
    <x:row r="6" ht="26.399999618530273" hidden="0" customHeight="1">
      <x:c r="A6" s="18" t="n">
        <x:v>393.15</x:v>
      </x:c>
      <x:c r="B6" s="50" t="n">
        <x:v>0.015</x:v>
      </x:c>
      <x:c r="C6" s="18" t="n">
        <x:f>VLOOKUP(A6,Inputs!$A$13:$F$15,2,FALSE)</x:f>
        <x:v>43.83</x:v>
      </x:c>
      <x:c r="D6" s="18" t="n">
        <x:f>VLOOKUP(A6,Inputs!$A$13:$F$15,3,FALSE)</x:f>
        <x:v>14.29</x:v>
      </x:c>
      <x:c r="E6" s="18" t="n">
        <x:f>VLOOKUP(A6,Inputs!$A$13:$F$15,4,FALSE)</x:f>
        <x:v>1.41</x:v>
      </x:c>
      <x:c r="F6" s="18" t="n">
        <x:f>VLOOKUP(A6,Inputs!$A$13:$F$15,5,FALSE)</x:f>
        <x:v>1.67</x:v>
      </x:c>
      <x:c r="G6" s="18" t="n">
        <x:f>VLOOKUP(A6,Inputs!$A$13:$F$15,6,FALSE)</x:f>
        <x:v>0.79</x:v>
      </x:c>
      <x:c r="H6" s="30" t="n">
        <x:f>Inputs!$B$8*EXP(-(C6+E6)*B6)</x:f>
        <x:v>1.014653505742656</x:v>
      </x:c>
      <x:c r="I6" s="30" t="n">
        <x:f>C6*Inputs!$B$8/(D6+F6-C6-E6)*(EXP(-(C6+E6)*B6)-EXP(-(D6+F6)*B6))</x:f>
        <x:v>0.8375997622233811</x:v>
      </x:c>
      <x:c r="J6" s="30" t="n">
        <x:f>D6*C6*Inputs!$B$8/(D6+F6-C6-E6)*((EXP(-(C6+E6)*B6)-EXP(-G6*B6))/(G6-C6-E6)-(EXP(-(D6+F6)*B6)-EXP(-G6*B6))/(G6-D6-F6))</x:f>
        <x:v>0.10434559755471738</x:v>
      </x:c>
      <x:c r="K6" s="30" t="n">
        <x:f>E6*Inputs!$B$8/(C6+E6)*(1-EXP(-(C6+E6)*B6))</x:f>
        <x:v>0.030710401346216956</x:v>
      </x:c>
      <x:c r="L6" s="30" t="n">
        <x:f>Inputs!$B$8-H6-I6-J6-K6</x:f>
        <x:v>0.012690733133028598</x:v>
      </x:c>
      <x:c r="M6" s="30" t="n">
        <x:f>(Inputs!$B$8-H6)/Inputs!$B$8</x:f>
        <x:v>0.492673247128672</x:v>
      </x:c>
      <x:c r="N6" s="30" t="n">
        <x:f>J6/Inputs!$B$8</x:f>
        <x:v>0.05217279877735869</x:v>
      </x:c>
      <x:c r="O6" s="30" t="n">
        <x:f>J6/(Inputs!$B$8-H6)</x:f>
        <x:v>0.10589736520386435</x:v>
      </x:c>
      <x:c r="P6" s="30"/>
      <x:c r="Q6" s="20" t="n">
        <x:v>423.15</x:v>
      </x:c>
      <x:c r="R6" s="34" t="n">
        <x:f>MAXIFS($N$4:$N$183,$A$4:$A$183,Q6)</x:f>
        <x:v>0.7417093351006522</x:v>
      </x:c>
      <x:c r="S6" s="52" t="n">
        <x:f>INDEX($B$4:$B$183,MATCH(1,($A$4:$A$183=Q6)*($N$4:$N$183=R6),0))</x:f>
        <x:v>0.035</x:v>
      </x:c>
      <x:c r="T6" s="34" t="n">
        <x:f>INDEX($J$4:$J$183,MATCH(1,($A$4:$A$183=Q6)*($N$4:$N$183=R6),0))</x:f>
        <x:v>1.4834186702013044</x:v>
      </x:c>
      <x:c r="U6" s="34" t="n">
        <x:f>INDEX($M$4:$M$183,MATCH(1,($A$4:$A$183=Q6)*($N$4:$N$183=R6),0))</x:f>
        <x:v>0.9996886210815135</x:v>
      </x:c>
      <x:c r="V6" s="34" t="n">
        <x:f>INDEX($O$4:$O$183,MATCH(1,($A$4:$A$183=Q6)*($N$4:$N$183=R6),0))</x:f>
        <x:v>0.7419403596874332</x:v>
      </x:c>
      <x:c r="W6" s="34" t="n">
        <x:f>Inputs!$B$18/R6</x:f>
        <x:v>5.7660336065892</x:v>
      </x:c>
      <x:c r="X6" s="34" t="n">
        <x:f>W6/Inputs!$B$8</x:f>
        <x:v>2.8830168032946</x:v>
      </x:c>
      <x:c r="Y6" s="34" t="n">
        <x:f>X6*S6</x:f>
        <x:v>0.10090558811531102</x:v>
      </x:c>
      <x:c r="Z6" s="34" t="str">
        <x:f>IF(Q6=423.15,"Highest yield and smallest volume; heat management required",IF(Q6=403.15,"Middle temperature; lowest yield in grid","Lowest temperature; larger reactor volume"))</x:f>
        <x:v>Highest yield and smallest volume; heat management required</x:v>
      </x:c>
    </x:row>
    <x:row r="7" ht="15" hidden="0" customHeight="1">
      <x:c r="A7" s="18" t="n">
        <x:v>393.15</x:v>
      </x:c>
      <x:c r="B7" s="50" t="n">
        <x:v>0.02</x:v>
      </x:c>
      <x:c r="C7" s="18" t="n">
        <x:f>VLOOKUP(A7,Inputs!$A$13:$F$15,2,FALSE)</x:f>
        <x:v>43.83</x:v>
      </x:c>
      <x:c r="D7" s="18" t="n">
        <x:f>VLOOKUP(A7,Inputs!$A$13:$F$15,3,FALSE)</x:f>
        <x:v>14.29</x:v>
      </x:c>
      <x:c r="E7" s="18" t="n">
        <x:f>VLOOKUP(A7,Inputs!$A$13:$F$15,4,FALSE)</x:f>
        <x:v>1.41</x:v>
      </x:c>
      <x:c r="F7" s="18" t="n">
        <x:f>VLOOKUP(A7,Inputs!$A$13:$F$15,5,FALSE)</x:f>
        <x:v>1.67</x:v>
      </x:c>
      <x:c r="G7" s="18" t="n">
        <x:f>VLOOKUP(A7,Inputs!$A$13:$F$15,6,FALSE)</x:f>
        <x:v>0.79</x:v>
      </x:c>
      <x:c r="H7" s="30" t="n">
        <x:f>Inputs!$B$8*EXP(-(C7+E7)*B7)</x:f>
        <x:v>0.8092456031428331</x:v>
      </x:c>
      <x:c r="I7" s="30" t="n">
        <x:f>C7*Inputs!$B$8/(D7+F7-C7-E7)*(EXP(-(C7+E7)*B7)-EXP(-(D7+F7)*B7))</x:f>
        <x:v>0.9643419931211087</x:v>
      </x:c>
      <x:c r="J7" s="30" t="n">
        <x:f>D7*C7*Inputs!$B$8/(D7+F7-C7-E7)*((EXP(-(C7+E7)*B7)-EXP(-G7*B7))/(G7-C7-E7)-(EXP(-(D7+F7)*B7)-EXP(-G7*B7))/(G7-D7-F7))</x:f>
        <x:v>0.16851186955375438</x:v>
      </x:c>
      <x:c r="K7" s="30" t="n">
        <x:f>E7*Inputs!$B$8/(C7+E7)*(1-EXP(-(C7+E7)*B7))</x:f>
        <x:v>0.0371123717853361</x:v>
      </x:c>
      <x:c r="L7" s="30" t="n">
        <x:f>Inputs!$B$8-H7-I7-J7-K7</x:f>
        <x:v>0.020788162396967604</x:v>
      </x:c>
      <x:c r="M7" s="30" t="n">
        <x:f>(Inputs!$B$8-H7)/Inputs!$B$8</x:f>
        <x:v>0.5953771984285834</x:v>
      </x:c>
      <x:c r="N7" s="30" t="n">
        <x:f>J7/Inputs!$B$8</x:f>
        <x:v>0.08425593477687719</x:v>
      </x:c>
      <x:c r="O7" s="30" t="n">
        <x:f>J7/(Inputs!$B$8-H7)</x:f>
        <x:v>0.14151689886555816</x:v>
      </x:c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 ht="15" hidden="0" customHeight="1">
      <x:c r="A8" s="18" t="n">
        <x:v>393.15</x:v>
      </x:c>
      <x:c r="B8" s="50" t="n">
        <x:v>0.025</x:v>
      </x:c>
      <x:c r="C8" s="18" t="n">
        <x:f>VLOOKUP(A8,Inputs!$A$13:$F$15,2,FALSE)</x:f>
        <x:v>43.83</x:v>
      </x:c>
      <x:c r="D8" s="18" t="n">
        <x:f>VLOOKUP(A8,Inputs!$A$13:$F$15,3,FALSE)</x:f>
        <x:v>14.29</x:v>
      </x:c>
      <x:c r="E8" s="18" t="n">
        <x:f>VLOOKUP(A8,Inputs!$A$13:$F$15,4,FALSE)</x:f>
        <x:v>1.41</x:v>
      </x:c>
      <x:c r="F8" s="18" t="n">
        <x:f>VLOOKUP(A8,Inputs!$A$13:$F$15,5,FALSE)</x:f>
        <x:v>1.67</x:v>
      </x:c>
      <x:c r="G8" s="18" t="n">
        <x:f>VLOOKUP(A8,Inputs!$A$13:$F$15,6,FALSE)</x:f>
        <x:v>0.79</x:v>
      </x:c>
      <x:c r="H8" s="30" t="n">
        <x:f>Inputs!$B$8*EXP(-(C8+E8)*B8)</x:f>
        <x:v>0.645420769257267</x:v>
      </x:c>
      <x:c r="I8" s="30" t="n">
        <x:f>C8*Inputs!$B$8/(D8+F8-C8-E8)*(EXP(-(C8+E8)*B8)-EXP(-(D8+F8)*B8))</x:f>
        <x:v>1.0426998826535878</x:v>
      </x:c>
      <x:c r="J8" s="30" t="n">
        <x:f>D8*C8*Inputs!$B$8/(D8+F8-C8-E8)*((EXP(-(C8+E8)*B8)-EXP(-G8*B8))/(G8-C8-E8)-(EXP(-(D8+F8)*B8)-EXP(-G8*B8))/(G8-D8-F8))</x:f>
        <x:v>0.23965977341282088</x:v>
      </x:c>
      <x:c r="K8" s="30" t="n">
        <x:f>E8*Inputs!$B$8/(C8+E8)*(1-EXP(-(C8+E8)*B8))</x:f>
        <x:v>0.04221831819954142</x:v>
      </x:c>
      <x:c r="L8" s="30" t="n">
        <x:f>Inputs!$B$8-H8-I8-J8-K8</x:f>
        <x:v>0.030001256476783</x:v>
      </x:c>
      <x:c r="M8" s="30" t="n">
        <x:f>(Inputs!$B$8-H8)/Inputs!$B$8</x:f>
        <x:v>0.6772896153713666</x:v>
      </x:c>
      <x:c r="N8" s="30" t="n">
        <x:f>J8/Inputs!$B$8</x:f>
        <x:v>0.11982988670641044</x:v>
      </x:c>
      <x:c r="O8" s="30" t="n">
        <x:f>J8/(Inputs!$B$8-H8)</x:f>
        <x:v>0.17692562234356152</x:v>
      </x:c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 ht="15" hidden="0" customHeight="1">
      <x:c r="A9" s="18" t="n">
        <x:v>393.15</x:v>
      </x:c>
      <x:c r="B9" s="50" t="n">
        <x:v>0.03</x:v>
      </x:c>
      <x:c r="C9" s="18" t="n">
        <x:f>VLOOKUP(A9,Inputs!$A$13:$F$15,2,FALSE)</x:f>
        <x:v>43.83</x:v>
      </x:c>
      <x:c r="D9" s="18" t="n">
        <x:f>VLOOKUP(A9,Inputs!$A$13:$F$15,3,FALSE)</x:f>
        <x:v>14.29</x:v>
      </x:c>
      <x:c r="E9" s="18" t="n">
        <x:f>VLOOKUP(A9,Inputs!$A$13:$F$15,4,FALSE)</x:f>
        <x:v>1.41</x:v>
      </x:c>
      <x:c r="F9" s="18" t="n">
        <x:f>VLOOKUP(A9,Inputs!$A$13:$F$15,5,FALSE)</x:f>
        <x:v>1.67</x:v>
      </x:c>
      <x:c r="G9" s="18" t="n">
        <x:f>VLOOKUP(A9,Inputs!$A$13:$F$15,6,FALSE)</x:f>
        <x:v>0.79</x:v>
      </x:c>
      <x:c r="H9" s="30" t="n">
        <x:f>Inputs!$B$8*EXP(-(C9+E9)*B9)</x:f>
        <x:v>0.514760868357931</x:v>
      </x:c>
      <x:c r="I9" s="30" t="n">
        <x:f>C9*Inputs!$B$8/(D9+F9-C9-E9)*(EXP(-(C9+E9)*B9)-EXP(-(D9+F9)*B9))</x:f>
        <x:v>1.0842115231698477</x:v>
      </x:c>
      <x:c r="J9" s="30" t="n">
        <x:f>D9*C9*Inputs!$B$8/(D9+F9-C9-E9)*((EXP(-(C9+E9)*B9)-EXP(-G9*B9))/(G9-C9-E9)-(EXP(-(D9+F9)*B9)-EXP(-G9*B9))/(G9-D9-F9))</x:f>
        <x:v>0.31473961934488515</x:v>
      </x:c>
      <x:c r="K9" s="30" t="n">
        <x:f>E9*Inputs!$B$8/(C9+E9)*(1-EXP(-(C9+E9)*B9))</x:f>
        <x:v>0.04629060954056847</x:v>
      </x:c>
      <x:c r="L9" s="30" t="n">
        <x:f>Inputs!$B$8-H9-I9-J9-K9</x:f>
        <x:v>0.03999737958676768</x:v>
      </x:c>
      <x:c r="M9" s="30" t="n">
        <x:f>(Inputs!$B$8-H9)/Inputs!$B$8</x:f>
        <x:v>0.7426195658210345</x:v>
      </x:c>
      <x:c r="N9" s="30" t="n">
        <x:f>J9/Inputs!$B$8</x:f>
        <x:v>0.15736980967244257</x:v>
      </x:c>
      <x:c r="O9" s="30" t="n">
        <x:f>J9/(Inputs!$B$8-H9)</x:f>
        <x:v>0.2119117471655298</x:v>
      </x:c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 ht="15" hidden="0" customHeight="1">
      <x:c r="A10" s="18" t="n">
        <x:v>393.15</x:v>
      </x:c>
      <x:c r="B10" s="50" t="n">
        <x:v>0.035</x:v>
      </x:c>
      <x:c r="C10" s="18" t="n">
        <x:f>VLOOKUP(A10,Inputs!$A$13:$F$15,2,FALSE)</x:f>
        <x:v>43.83</x:v>
      </x:c>
      <x:c r="D10" s="18" t="n">
        <x:f>VLOOKUP(A10,Inputs!$A$13:$F$15,3,FALSE)</x:f>
        <x:v>14.29</x:v>
      </x:c>
      <x:c r="E10" s="18" t="n">
        <x:f>VLOOKUP(A10,Inputs!$A$13:$F$15,4,FALSE)</x:f>
        <x:v>1.41</x:v>
      </x:c>
      <x:c r="F10" s="18" t="n">
        <x:f>VLOOKUP(A10,Inputs!$A$13:$F$15,5,FALSE)</x:f>
        <x:v>1.67</x:v>
      </x:c>
      <x:c r="G10" s="18" t="n">
        <x:f>VLOOKUP(A10,Inputs!$A$13:$F$15,6,FALSE)</x:f>
        <x:v>0.79</x:v>
      </x:c>
      <x:c r="H10" s="30" t="n">
        <x:f>Inputs!$B$8*EXP(-(C10+E10)*B10)</x:f>
        <x:v>0.4105519441178528</x:v>
      </x:c>
      <x:c r="I10" s="30" t="n">
        <x:f>C10*Inputs!$B$8/(D10+F10-C10-E10)*(EXP(-(C10+E10)*B10)-EXP(-(D10+F10)*B10))</x:f>
        <x:v>1.097945525310926</x:v>
      </x:c>
      <x:c r="J10" s="30" t="n">
        <x:f>D10*C10*Inputs!$B$8/(D10+F10-C10-E10)*((EXP(-(C10+E10)*B10)-EXP(-G10*B10))/(G10-C10-E10)-(EXP(-(D10+F10)*B10)-EXP(-G10*B10))/(G10-D10-F10))</x:f>
        <x:v>0.3914450171494303</x:v>
      </x:c>
      <x:c r="K10" s="30" t="n">
        <x:f>E10*Inputs!$B$8/(C10+E10)*(1-EXP(-(C10+E10)*B10))</x:f>
        <x:v>0.04953850041542502</x:v>
      </x:c>
      <x:c r="L10" s="30" t="n">
        <x:f>Inputs!$B$8-H10-I10-J10-K10</x:f>
        <x:v>0.05051901300636596</x:v>
      </x:c>
      <x:c r="M10" s="30" t="n">
        <x:f>(Inputs!$B$8-H10)/Inputs!$B$8</x:f>
        <x:v>0.7947240279410737</x:v>
      </x:c>
      <x:c r="N10" s="30" t="n">
        <x:f>J10/Inputs!$B$8</x:f>
        <x:v>0.19572250857471515</x:v>
      </x:c>
      <x:c r="O10" s="30" t="n">
        <x:f>J10/(Inputs!$B$8-H10)</x:f>
        <x:v>0.24627732608234085</x:v>
      </x:c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 ht="15" hidden="0" customHeight="1">
      <x:c r="A11" s="18" t="n">
        <x:v>393.15</x:v>
      </x:c>
      <x:c r="B11" s="50" t="n">
        <x:v>0.04</x:v>
      </x:c>
      <x:c r="C11" s="18" t="n">
        <x:f>VLOOKUP(A11,Inputs!$A$13:$F$15,2,FALSE)</x:f>
        <x:v>43.83</x:v>
      </x:c>
      <x:c r="D11" s="18" t="n">
        <x:f>VLOOKUP(A11,Inputs!$A$13:$F$15,3,FALSE)</x:f>
        <x:v>14.29</x:v>
      </x:c>
      <x:c r="E11" s="18" t="n">
        <x:f>VLOOKUP(A11,Inputs!$A$13:$F$15,4,FALSE)</x:f>
        <x:v>1.41</x:v>
      </x:c>
      <x:c r="F11" s="18" t="n">
        <x:f>VLOOKUP(A11,Inputs!$A$13:$F$15,5,FALSE)</x:f>
        <x:v>1.67</x:v>
      </x:c>
      <x:c r="G11" s="18" t="n">
        <x:f>VLOOKUP(A11,Inputs!$A$13:$F$15,6,FALSE)</x:f>
        <x:v>0.79</x:v>
      </x:c>
      <x:c r="H11" s="30" t="n">
        <x:f>Inputs!$B$8*EXP(-(C11+E11)*B11)</x:f>
        <x:v>0.3274392231030039</x:v>
      </x:c>
      <x:c r="I11" s="30" t="n">
        <x:f>C11*Inputs!$B$8/(D11+F11-C11-E11)*(EXP(-(C11+E11)*B11)-EXP(-(D11+F11)*B11))</x:f>
        <x:v>1.0910111975937054</x:v>
      </x:c>
      <x:c r="J11" s="30" t="n">
        <x:f>D11*C11*Inputs!$B$8/(D11+F11-C11-E11)*((EXP(-(C11+E11)*B11)-EXP(-G11*B11))/(G11-C11-E11)-(EXP(-(D11+F11)*B11)-EXP(-G11*B11))/(G11-D11-F11))</x:f>
        <x:v>0.4680527423242267</x:v>
      </x:c>
      <x:c r="K11" s="30" t="n">
        <x:f>E11*Inputs!$B$8/(C11+E11)*(1-EXP(-(C11+E11)*B11))</x:f>
        <x:v>0.052128883630078796</x:v>
      </x:c>
      <x:c r="L11" s="30" t="n">
        <x:f>Inputs!$B$8-H11-I11-J11-K11</x:f>
        <x:v>0.061367953348985246</x:v>
      </x:c>
      <x:c r="M11" s="30" t="n">
        <x:f>(Inputs!$B$8-H11)/Inputs!$B$8</x:f>
        <x:v>0.8362803884484981</x:v>
      </x:c>
      <x:c r="N11" s="30" t="n">
        <x:f>J11/Inputs!$B$8</x:f>
        <x:v>0.23402637116211336</x:v>
      </x:c>
      <x:c r="O11" s="30" t="n">
        <x:f>J11/(Inputs!$B$8-H11)</x:f>
        <x:v>0.279841993659912</x:v>
      </x:c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 ht="15" hidden="0" customHeight="1">
      <x:c r="A12" s="18" t="n">
        <x:v>393.15</x:v>
      </x:c>
      <x:c r="B12" s="50" t="n">
        <x:v>0.045</x:v>
      </x:c>
      <x:c r="C12" s="18" t="n">
        <x:f>VLOOKUP(A12,Inputs!$A$13:$F$15,2,FALSE)</x:f>
        <x:v>43.83</x:v>
      </x:c>
      <x:c r="D12" s="18" t="n">
        <x:f>VLOOKUP(A12,Inputs!$A$13:$F$15,3,FALSE)</x:f>
        <x:v>14.29</x:v>
      </x:c>
      <x:c r="E12" s="18" t="n">
        <x:f>VLOOKUP(A12,Inputs!$A$13:$F$15,4,FALSE)</x:f>
        <x:v>1.41</x:v>
      </x:c>
      <x:c r="F12" s="18" t="n">
        <x:f>VLOOKUP(A12,Inputs!$A$13:$F$15,5,FALSE)</x:f>
        <x:v>1.67</x:v>
      </x:c>
      <x:c r="G12" s="18" t="n">
        <x:f>VLOOKUP(A12,Inputs!$A$13:$F$15,6,FALSE)</x:f>
        <x:v>0.79</x:v>
      </x:c>
      <x:c r="H12" s="30" t="n">
        <x:f>Inputs!$B$8*EXP(-(C12+E12)*B12)</x:f>
        <x:v>0.2611519598492542</x:v>
      </x:c>
      <x:c r="I12" s="30" t="n">
        <x:f>C12*Inputs!$B$8/(D12+F12-C12-E12)*(EXP(-(C12+E12)*B12)-EXP(-(D12+F12)*B12))</x:f>
        <x:v>1.0689646580263947</x:v>
      </x:c>
      <x:c r="J12" s="30" t="n">
        <x:f>D12*C12*Inputs!$B$8/(D12+F12-C12-E12)*((EXP(-(C12+E12)*B12)-EXP(-G12*B12))/(G12-C12-E12)-(EXP(-(D12+F12)*B12)-EXP(-G12*B12))/(G12-D12-F12))</x:f>
        <x:v>0.5432957607718873</x:v>
      </x:c>
      <x:c r="K12" s="30" t="n">
        <x:f>E12*Inputs!$B$8/(C12+E12)*(1-EXP(-(C12+E12)*B12))</x:f>
        <x:v>0.05419486597286807</x:v>
      </x:c>
      <x:c r="L12" s="30" t="n">
        <x:f>Inputs!$B$8-H12-I12-J12-K12</x:f>
        <x:v>0.07239275537959564</x:v>
      </x:c>
      <x:c r="M12" s="30" t="n">
        <x:f>(Inputs!$B$8-H12)/Inputs!$B$8</x:f>
        <x:v>0.8694240200753729</x:v>
      </x:c>
      <x:c r="N12" s="30" t="n">
        <x:f>J12/Inputs!$B$8</x:f>
        <x:v>0.2716478803859437</x:v>
      </x:c>
      <x:c r="O12" s="30" t="n">
        <x:f>J12/(Inputs!$B$8-H12)</x:f>
        <x:v>0.3124457964278394</x:v>
      </x:c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 ht="15" hidden="0" customHeight="1">
      <x:c r="A13" s="18" t="n">
        <x:v>393.15</x:v>
      </x:c>
      <x:c r="B13" s="50" t="n">
        <x:v>0.05</x:v>
      </x:c>
      <x:c r="C13" s="18" t="n">
        <x:f>VLOOKUP(A13,Inputs!$A$13:$F$15,2,FALSE)</x:f>
        <x:v>43.83</x:v>
      </x:c>
      <x:c r="D13" s="18" t="n">
        <x:f>VLOOKUP(A13,Inputs!$A$13:$F$15,3,FALSE)</x:f>
        <x:v>14.29</x:v>
      </x:c>
      <x:c r="E13" s="18" t="n">
        <x:f>VLOOKUP(A13,Inputs!$A$13:$F$15,4,FALSE)</x:f>
        <x:v>1.41</x:v>
      </x:c>
      <x:c r="F13" s="18" t="n">
        <x:f>VLOOKUP(A13,Inputs!$A$13:$F$15,5,FALSE)</x:f>
        <x:v>1.67</x:v>
      </x:c>
      <x:c r="G13" s="18" t="n">
        <x:f>VLOOKUP(A13,Inputs!$A$13:$F$15,6,FALSE)</x:f>
        <x:v>0.79</x:v>
      </x:c>
      <x:c r="H13" s="30" t="n">
        <x:f>Inputs!$B$8*EXP(-(C13+E13)*B13)</x:f>
        <x:v>0.2082839846943211</x:v>
      </x:c>
      <x:c r="I13" s="30" t="n">
        <x:f>C13*Inputs!$B$8/(D13+F13-C13-E13)*(EXP(-(C13+E13)*B13)-EXP(-(D13+F13)*B13))</x:f>
        <x:v>1.0361320057462573</x:v>
      </x:c>
      <x:c r="J13" s="30" t="n">
        <x:f>D13*C13*Inputs!$B$8/(D13+F13-C13-E13)*((EXP(-(C13+E13)*B13)-EXP(-G13*B13))/(G13-C13-E13)-(EXP(-(D13+F13)*B13)-EXP(-G13*B13))/(G13-D13-F13))</x:f>
        <x:v>0.6162626426045825</x:v>
      </x:c>
      <x:c r="K13" s="30" t="n">
        <x:f>E13*Inputs!$B$8/(C13+E13)*(1-EXP(-(C13+E13)*B13))</x:f>
        <x:v>0.055842607904089465</x:v>
      </x:c>
      <x:c r="L13" s="30" t="n">
        <x:f>Inputs!$B$8-H13-I13-J13-K13</x:f>
        <x:v>0.08347875905074953</x:v>
      </x:c>
      <x:c r="M13" s="30" t="n">
        <x:f>(Inputs!$B$8-H13)/Inputs!$B$8</x:f>
        <x:v>0.8958580076528394</x:v>
      </x:c>
      <x:c r="N13" s="30" t="n">
        <x:f>J13/Inputs!$B$8</x:f>
        <x:v>0.30813132130229126</x:v>
      </x:c>
      <x:c r="O13" s="30" t="n">
        <x:f>J13/(Inputs!$B$8-H13)</x:f>
        <x:v>0.34395107111851314</x:v>
      </x:c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 ht="15" hidden="0" customHeight="1">
      <x:c r="A14" s="18" t="n">
        <x:v>393.15</x:v>
      </x:c>
      <x:c r="B14" s="50" t="n">
        <x:v>0.055</x:v>
      </x:c>
      <x:c r="C14" s="18" t="n">
        <x:f>VLOOKUP(A14,Inputs!$A$13:$F$15,2,FALSE)</x:f>
        <x:v>43.83</x:v>
      </x:c>
      <x:c r="D14" s="18" t="n">
        <x:f>VLOOKUP(A14,Inputs!$A$13:$F$15,3,FALSE)</x:f>
        <x:v>14.29</x:v>
      </x:c>
      <x:c r="E14" s="18" t="n">
        <x:f>VLOOKUP(A14,Inputs!$A$13:$F$15,4,FALSE)</x:f>
        <x:v>1.41</x:v>
      </x:c>
      <x:c r="F14" s="18" t="n">
        <x:f>VLOOKUP(A14,Inputs!$A$13:$F$15,5,FALSE)</x:f>
        <x:v>1.67</x:v>
      </x:c>
      <x:c r="G14" s="18" t="n">
        <x:f>VLOOKUP(A14,Inputs!$A$13:$F$15,6,FALSE)</x:f>
        <x:v>0.79</x:v>
      </x:c>
      <x:c r="H14" s="30" t="n">
        <x:f>Inputs!$B$8*EXP(-(C14+E14)*B14)</x:f>
        <x:v>0.1661186778195573</x:v>
      </x:c>
      <x:c r="I14" s="30" t="n">
        <x:f>C14*Inputs!$B$8/(D14+F14-C14-E14)*(EXP(-(C14+E14)*B14)-EXP(-(D14+F14)*B14))</x:f>
        <x:v>0.9958663988629609</x:v>
      </x:c>
      <x:c r="J14" s="30" t="n">
        <x:f>D14*C14*Inputs!$B$8/(D14+F14-C14-E14)*((EXP(-(C14+E14)*B14)-EXP(-G14*B14))/(G14-C14-E14)-(EXP(-(D14+F14)*B14)-EXP(-G14*B14))/(G14-D14-F14))</x:f>
        <x:v>0.6863179703351282</x:v>
      </x:c>
      <x:c r="K14" s="30" t="n">
        <x:f>E14*Inputs!$B$8/(C14+E14)*(1-EXP(-(C14+E14)*B14))</x:f>
        <x:v>0.05715677860907215</x:v>
      </x:c>
      <x:c r="L14" s="30" t="n">
        <x:f>Inputs!$B$8-H14-I14-J14-K14</x:f>
        <x:v>0.09454017437328138</x:v>
      </x:c>
      <x:c r="M14" s="30" t="n">
        <x:f>(Inputs!$B$8-H14)/Inputs!$B$8</x:f>
        <x:v>0.9169406610902213</x:v>
      </x:c>
      <x:c r="N14" s="30" t="n">
        <x:f>J14/Inputs!$B$8</x:f>
        <x:v>0.3431589851675641</x:v>
      </x:c>
      <x:c r="O14" s="30" t="n">
        <x:f>J14/(Inputs!$B$8-H14)</x:f>
        <x:v>0.37424339407040363</x:v>
      </x:c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 ht="15" hidden="0" customHeight="1">
      <x:c r="A15" s="18" t="n">
        <x:v>393.15</x:v>
      </x:c>
      <x:c r="B15" s="50" t="n">
        <x:v>0.06</x:v>
      </x:c>
      <x:c r="C15" s="18" t="n">
        <x:f>VLOOKUP(A15,Inputs!$A$13:$F$15,2,FALSE)</x:f>
        <x:v>43.83</x:v>
      </x:c>
      <x:c r="D15" s="18" t="n">
        <x:f>VLOOKUP(A15,Inputs!$A$13:$F$15,3,FALSE)</x:f>
        <x:v>14.29</x:v>
      </x:c>
      <x:c r="E15" s="18" t="n">
        <x:f>VLOOKUP(A15,Inputs!$A$13:$F$15,4,FALSE)</x:f>
        <x:v>1.41</x:v>
      </x:c>
      <x:c r="F15" s="18" t="n">
        <x:f>VLOOKUP(A15,Inputs!$A$13:$F$15,5,FALSE)</x:f>
        <x:v>1.67</x:v>
      </x:c>
      <x:c r="G15" s="18" t="n">
        <x:f>VLOOKUP(A15,Inputs!$A$13:$F$15,6,FALSE)</x:f>
        <x:v>0.79</x:v>
      </x:c>
      <x:c r="H15" s="30" t="n">
        <x:f>Inputs!$B$8*EXP(-(C15+E15)*B15)</x:f>
        <x:v>0.13248937579630557</x:v>
      </x:c>
      <x:c r="I15" s="30" t="n">
        <x:f>C15*Inputs!$B$8/(D15+F15-C15-E15)*(EXP(-(C15+E15)*B15)-EXP(-(D15+F15)*B15))</x:f>
        <x:v>0.9507524700536997</x:v>
      </x:c>
      <x:c r="J15" s="30" t="n">
        <x:f>D15*C15*Inputs!$B$8/(D15+F15-C15-E15)*((EXP(-(C15+E15)*B15)-EXP(-G15*B15))/(G15-C15-E15)-(EXP(-(D15+F15)*B15)-EXP(-G15*B15))/(G15-D15-F15))</x:f>
        <x:v>0.7530394428798441</x:v>
      </x:c>
      <x:c r="K15" s="30" t="n">
        <x:f>E15*Inputs!$B$8/(C15+E15)*(1-EXP(-(C15+E15)*B15))</x:f>
        <x:v>0.05820490672252895</x:v>
      </x:c>
      <x:c r="L15" s="30" t="n">
        <x:f>Inputs!$B$8-H15-I15-J15-K15</x:f>
        <x:v>0.10551380454762174</x:v>
      </x:c>
      <x:c r="M15" s="30" t="n">
        <x:f>(Inputs!$B$8-H15)/Inputs!$B$8</x:f>
        <x:v>0.9337553121018473</x:v>
      </x:c>
      <x:c r="N15" s="30" t="n">
        <x:f>J15/Inputs!$B$8</x:f>
        <x:v>0.3765197214399221</x:v>
      </x:c>
      <x:c r="O15" s="30" t="n">
        <x:f>J15/(Inputs!$B$8-H15)</x:f>
        <x:v>0.40323167810675226</x:v>
      </x:c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 ht="15" hidden="0" customHeight="1">
      <x:c r="A16" s="18" t="n">
        <x:v>393.15</x:v>
      </x:c>
      <x:c r="B16" s="50" t="n">
        <x:v>0.065</x:v>
      </x:c>
      <x:c r="C16" s="18" t="n">
        <x:f>VLOOKUP(A16,Inputs!$A$13:$F$15,2,FALSE)</x:f>
        <x:v>43.83</x:v>
      </x:c>
      <x:c r="D16" s="18" t="n">
        <x:f>VLOOKUP(A16,Inputs!$A$13:$F$15,3,FALSE)</x:f>
        <x:v>14.29</x:v>
      </x:c>
      <x:c r="E16" s="18" t="n">
        <x:f>VLOOKUP(A16,Inputs!$A$13:$F$15,4,FALSE)</x:f>
        <x:v>1.41</x:v>
      </x:c>
      <x:c r="F16" s="18" t="n">
        <x:f>VLOOKUP(A16,Inputs!$A$13:$F$15,5,FALSE)</x:f>
        <x:v>1.67</x:v>
      </x:c>
      <x:c r="G16" s="18" t="n">
        <x:f>VLOOKUP(A16,Inputs!$A$13:$F$15,6,FALSE)</x:f>
        <x:v>0.79</x:v>
      </x:c>
      <x:c r="H16" s="30" t="n">
        <x:f>Inputs!$B$8*EXP(-(C16+E16)*B16)</x:f>
        <x:v>0.10566803763007131</x:v>
      </x:c>
      <x:c r="I16" s="30" t="n">
        <x:f>C16*Inputs!$B$8/(D16+F16-C16-E16)*(EXP(-(C16+E16)*B16)-EXP(-(D16+F16)*B16))</x:f>
        <x:v>0.9027687884107057</x:v>
      </x:c>
      <x:c r="J16" s="30" t="n">
        <x:f>D16*C16*Inputs!$B$8/(D16+F16-C16-E16)*((EXP(-(C16+E16)*B16)-EXP(-G16*B16))/(G16-C16-E16)-(EXP(-(D16+F16)*B16)-EXP(-G16*B16))/(G16-D16-F16))</x:f>
        <x:v>0.8161682507235266</x:v>
      </x:c>
      <x:c r="K16" s="30" t="n">
        <x:f>E16*Inputs!$B$8/(C16+E16)*(1-EXP(-(C16+E16)*B16))</x:f>
        <x:v>0.05904085028606542</x:v>
      </x:c>
      <x:c r="L16" s="30" t="n">
        <x:f>Inputs!$B$8-H16-I16-J16-K16</x:f>
        <x:v>0.11635407294963085</x:v>
      </x:c>
      <x:c r="M16" s="30" t="n">
        <x:f>(Inputs!$B$8-H16)/Inputs!$B$8</x:f>
        <x:v>0.9471659811849643</x:v>
      </x:c>
      <x:c r="N16" s="30" t="n">
        <x:f>J16/Inputs!$B$8</x:f>
        <x:v>0.4080841253617633</x:v>
      </x:c>
      <x:c r="O16" s="30" t="n">
        <x:f>J16/(Inputs!$B$8-H16)</x:f>
        <x:v>0.43084753197240505</x:v>
      </x:c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 ht="15" hidden="0" customHeight="1">
      <x:c r="A17" s="18" t="n">
        <x:v>393.15</x:v>
      </x:c>
      <x:c r="B17" s="50" t="n">
        <x:v>0.07</x:v>
      </x:c>
      <x:c r="C17" s="18" t="n">
        <x:f>VLOOKUP(A17,Inputs!$A$13:$F$15,2,FALSE)</x:f>
        <x:v>43.83</x:v>
      </x:c>
      <x:c r="D17" s="18" t="n">
        <x:f>VLOOKUP(A17,Inputs!$A$13:$F$15,3,FALSE)</x:f>
        <x:v>14.29</x:v>
      </x:c>
      <x:c r="E17" s="18" t="n">
        <x:f>VLOOKUP(A17,Inputs!$A$13:$F$15,4,FALSE)</x:f>
        <x:v>1.41</x:v>
      </x:c>
      <x:c r="F17" s="18" t="n">
        <x:f>VLOOKUP(A17,Inputs!$A$13:$F$15,5,FALSE)</x:f>
        <x:v>1.67</x:v>
      </x:c>
      <x:c r="G17" s="18" t="n">
        <x:f>VLOOKUP(A17,Inputs!$A$13:$F$15,6,FALSE)</x:f>
        <x:v>0.79</x:v>
      </x:c>
      <x:c r="H17" s="30" t="n">
        <x:f>Inputs!$B$8*EXP(-(C17+E17)*B17)</x:f>
        <x:v>0.08427644940947426</x:v>
      </x:c>
      <x:c r="I17" s="30" t="n">
        <x:f>C17*Inputs!$B$8/(D17+F17-C17-E17)*(EXP(-(C17+E17)*B17)-EXP(-(D17+F17)*B17))</x:f>
        <x:v>0.8534169045559629</x:v>
      </x:c>
      <x:c r="J17" s="30" t="n">
        <x:f>D17*C17*Inputs!$B$8/(D17+F17-C17-E17)*((EXP(-(C17+E17)*B17)-EXP(-G17*B17))/(G17-C17-E17)-(EXP(-(D17+F17)*B17)-EXP(-G17*B17))/(G17-D17-F17))</x:f>
        <x:v>0.8755699943182624</x:v>
      </x:c>
      <x:c r="K17" s="30" t="n">
        <x:f>E17*Inputs!$B$8/(C17+E17)*(1-EXP(-(C17+E17)*B17))</x:f>
        <x:v>0.059707564242542914</x:v>
      </x:c>
      <x:c r="L17" s="30" t="n">
        <x:f>Inputs!$B$8-H17-I17-J17-K17</x:f>
        <x:v>0.12702908747375735</x:v>
      </x:c>
      <x:c r="M17" s="30" t="n">
        <x:f>(Inputs!$B$8-H17)/Inputs!$B$8</x:f>
        <x:v>0.9578617752952628</x:v>
      </x:c>
      <x:c r="N17" s="30" t="n">
        <x:f>J17/Inputs!$B$8</x:f>
        <x:v>0.4377849971591312</x:v>
      </x:c>
      <x:c r="O17" s="30" t="n">
        <x:f>J17/(Inputs!$B$8-H17)</x:f>
        <x:v>0.4570440208078907</x:v>
      </x:c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 ht="15" hidden="0" customHeight="1">
      <x:c r="A18" s="18" t="n">
        <x:v>393.15</x:v>
      </x:c>
      <x:c r="B18" s="50" t="n">
        <x:v>0.075</x:v>
      </x:c>
      <x:c r="C18" s="18" t="n">
        <x:f>VLOOKUP(A18,Inputs!$A$13:$F$15,2,FALSE)</x:f>
        <x:v>43.83</x:v>
      </x:c>
      <x:c r="D18" s="18" t="n">
        <x:f>VLOOKUP(A18,Inputs!$A$13:$F$15,3,FALSE)</x:f>
        <x:v>14.29</x:v>
      </x:c>
      <x:c r="E18" s="18" t="n">
        <x:f>VLOOKUP(A18,Inputs!$A$13:$F$15,4,FALSE)</x:f>
        <x:v>1.41</x:v>
      </x:c>
      <x:c r="F18" s="18" t="n">
        <x:f>VLOOKUP(A18,Inputs!$A$13:$F$15,5,FALSE)</x:f>
        <x:v>1.67</x:v>
      </x:c>
      <x:c r="G18" s="18" t="n">
        <x:f>VLOOKUP(A18,Inputs!$A$13:$F$15,6,FALSE)</x:f>
        <x:v>0.79</x:v>
      </x:c>
      <x:c r="H18" s="30" t="n">
        <x:f>Inputs!$B$8*EXP(-(C18+E18)*B18)</x:f>
        <x:v>0.06721540481268881</x:v>
      </x:c>
      <x:c r="I18" s="30" t="n">
        <x:f>C18*Inputs!$B$8/(D18+F18-C18-E18)*(EXP(-(C18+E18)*B18)-EXP(-(D18+F18)*B18))</x:f>
        <x:v>0.803823784430129</x:v>
      </x:c>
      <x:c r="J18" s="30" t="n">
        <x:f>D18*C18*Inputs!$B$8/(D18+F18-C18-E18)*((EXP(-(C18+E18)*B18)-EXP(-G18*B18))/(G18-C18-E18)-(EXP(-(D18+F18)*B18)-EXP(-G18*B18))/(G18-D18-F18))</x:f>
        <x:v>0.9312039732008072</x:v>
      </x:c>
      <x:c r="K18" s="30" t="n">
        <x:f>E18*Inputs!$B$8/(C18+E18)*(1-EXP(-(C18+E18)*B18))</x:f>
        <x:v>0.0602393076749361</x:v>
      </x:c>
      <x:c r="L18" s="30" t="n">
        <x:f>Inputs!$B$8-H18-I18-J18-K18</x:f>
        <x:v>0.13751752988143898</x:v>
      </x:c>
      <x:c r="M18" s="30" t="n">
        <x:f>(Inputs!$B$8-H18)/Inputs!$B$8</x:f>
        <x:v>0.9663922975936556</x:v>
      </x:c>
      <x:c r="N18" s="30" t="n">
        <x:f>J18/Inputs!$B$8</x:f>
        <x:v>0.4656019866004036</x:v>
      </x:c>
      <x:c r="O18" s="30" t="n">
        <x:f>J18/(Inputs!$B$8-H18)</x:f>
        <x:v>0.48179397513801153</x:v>
      </x:c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 ht="15" hidden="0" customHeight="1">
      <x:c r="A19" s="18" t="n">
        <x:v>393.15</x:v>
      </x:c>
      <x:c r="B19" s="50" t="n">
        <x:v>0.08</x:v>
      </x:c>
      <x:c r="C19" s="18" t="n">
        <x:f>VLOOKUP(A19,Inputs!$A$13:$F$15,2,FALSE)</x:f>
        <x:v>43.83</x:v>
      </x:c>
      <x:c r="D19" s="18" t="n">
        <x:f>VLOOKUP(A19,Inputs!$A$13:$F$15,3,FALSE)</x:f>
        <x:v>14.29</x:v>
      </x:c>
      <x:c r="E19" s="18" t="n">
        <x:f>VLOOKUP(A19,Inputs!$A$13:$F$15,4,FALSE)</x:f>
        <x:v>1.41</x:v>
      </x:c>
      <x:c r="F19" s="18" t="n">
        <x:f>VLOOKUP(A19,Inputs!$A$13:$F$15,5,FALSE)</x:f>
        <x:v>1.67</x:v>
      </x:c>
      <x:c r="G19" s="18" t="n">
        <x:f>VLOOKUP(A19,Inputs!$A$13:$F$15,6,FALSE)</x:f>
        <x:v>0.79</x:v>
      </x:c>
      <x:c r="H19" s="30" t="n">
        <x:f>Inputs!$B$8*EXP(-(C19+E19)*B19)</x:f>
        <x:v>0.053608222413149366</x:v>
      </x:c>
      <x:c r="I19" s="30" t="n">
        <x:f>C19*Inputs!$B$8/(D19+F19-C19-E19)*(EXP(-(C19+E19)*B19)-EXP(-(D19+F19)*B19))</x:f>
        <x:v>0.7548230563618995</x:v>
      </x:c>
      <x:c r="J19" s="30" t="n">
        <x:f>D19*C19*Inputs!$B$8/(D19+F19-C19-E19)*((EXP(-(C19+E19)*B19)-EXP(-G19*B19))/(G19-C19-E19)-(EXP(-(D19+F19)*B19)-EXP(-G19*B19))/(G19-D19-F19))</x:f>
        <x:v>0.9830991160447193</x:v>
      </x:c>
      <x:c r="K19" s="30" t="n">
        <x:f>E19*Inputs!$B$8/(C19+E19)*(1-EXP(-(C19+E19)*B19))</x:f>
        <x:v>0.060663404208608745</x:v>
      </x:c>
      <x:c r="L19" s="30" t="n">
        <x:f>Inputs!$B$8-H19-I19-J19-K19</x:f>
        <x:v>0.14780620097162298</x:v>
      </x:c>
      <x:c r="M19" s="30" t="n">
        <x:f>(Inputs!$B$8-H19)/Inputs!$B$8</x:f>
        <x:v>0.9731958887934253</x:v>
      </x:c>
      <x:c r="N19" s="30" t="n">
        <x:f>J19/Inputs!$B$8</x:f>
        <x:v>0.49154955802235967</x:v>
      </x:c>
      <x:c r="O19" s="30" t="n">
        <x:f>J19/(Inputs!$B$8-H19)</x:f>
        <x:v>0.5050879927491124</x:v>
      </x:c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 ht="15" hidden="0" customHeight="1">
      <x:c r="A20" s="18" t="n">
        <x:v>393.15</x:v>
      </x:c>
      <x:c r="B20" s="50" t="n">
        <x:v>0.085</x:v>
      </x:c>
      <x:c r="C20" s="18" t="n">
        <x:f>VLOOKUP(A20,Inputs!$A$13:$F$15,2,FALSE)</x:f>
        <x:v>43.83</x:v>
      </x:c>
      <x:c r="D20" s="18" t="n">
        <x:f>VLOOKUP(A20,Inputs!$A$13:$F$15,3,FALSE)</x:f>
        <x:v>14.29</x:v>
      </x:c>
      <x:c r="E20" s="18" t="n">
        <x:f>VLOOKUP(A20,Inputs!$A$13:$F$15,4,FALSE)</x:f>
        <x:v>1.41</x:v>
      </x:c>
      <x:c r="F20" s="18" t="n">
        <x:f>VLOOKUP(A20,Inputs!$A$13:$F$15,5,FALSE)</x:f>
        <x:v>1.67</x:v>
      </x:c>
      <x:c r="G20" s="18" t="n">
        <x:f>VLOOKUP(A20,Inputs!$A$13:$F$15,6,FALSE)</x:f>
        <x:v>0.79</x:v>
      </x:c>
      <x:c r="H20" s="30" t="n">
        <x:f>Inputs!$B$8*EXP(-(C20+E20)*B20)</x:f>
        <x:v>0.04275569742243332</x:v>
      </x:c>
      <x:c r="I20" s="30" t="n">
        <x:f>C20*Inputs!$B$8/(D20+F20-C20-E20)*(EXP(-(C20+E20)*B20)-EXP(-(D20+F20)*B20))</x:f>
        <x:v>0.7070193949926803</x:v>
      </x:c>
      <x:c r="J20" s="30" t="n">
        <x:f>D20*C20*Inputs!$B$8/(D20+F20-C20-E20)*((EXP(-(C20+E20)*B20)-EXP(-G20*B20))/(G20-C20-E20)-(EXP(-(D20+F20)*B20)-EXP(-G20*B20))/(G20-D20-F20))</x:f>
        <x:v>1.0313351747434238</x:v>
      </x:c>
      <x:c r="K20" s="30" t="n">
        <x:f>E20*Inputs!$B$8/(C20+E20)*(1-EXP(-(C20+E20)*B20))</x:f>
        <x:v>0.06100164603524247</x:v>
      </x:c>
      <x:c r="L20" s="30" t="n">
        <x:f>Inputs!$B$8-H20-I20-J20-K20</x:f>
        <x:v>0.15788808680622027</x:v>
      </x:c>
      <x:c r="M20" s="30" t="n">
        <x:f>(Inputs!$B$8-H20)/Inputs!$B$8</x:f>
        <x:v>0.9786221512887834</x:v>
      </x:c>
      <x:c r="N20" s="30" t="n">
        <x:f>J20/Inputs!$B$8</x:f>
        <x:v>0.5156675873717119</x:v>
      </x:c>
      <x:c r="O20" s="30" t="n">
        <x:f>J20/(Inputs!$B$8-H20)</x:f>
        <x:v>0.5269322656273521</x:v>
      </x:c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 ht="15" hidden="0" customHeight="1">
      <x:c r="A21" s="18" t="n">
        <x:v>393.15</x:v>
      </x:c>
      <x:c r="B21" s="50" t="n">
        <x:v>0.09</x:v>
      </x:c>
      <x:c r="C21" s="18" t="n">
        <x:f>VLOOKUP(A21,Inputs!$A$13:$F$15,2,FALSE)</x:f>
        <x:v>43.83</x:v>
      </x:c>
      <x:c r="D21" s="18" t="n">
        <x:f>VLOOKUP(A21,Inputs!$A$13:$F$15,3,FALSE)</x:f>
        <x:v>14.29</x:v>
      </x:c>
      <x:c r="E21" s="18" t="n">
        <x:f>VLOOKUP(A21,Inputs!$A$13:$F$15,4,FALSE)</x:f>
        <x:v>1.41</x:v>
      </x:c>
      <x:c r="F21" s="18" t="n">
        <x:f>VLOOKUP(A21,Inputs!$A$13:$F$15,5,FALSE)</x:f>
        <x:v>1.67</x:v>
      </x:c>
      <x:c r="G21" s="18" t="n">
        <x:f>VLOOKUP(A21,Inputs!$A$13:$F$15,6,FALSE)</x:f>
        <x:v>0.79</x:v>
      </x:c>
      <x:c r="H21" s="30" t="n">
        <x:f>Inputs!$B$8*EXP(-(C21+E21)*B21)</x:f>
        <x:v>0.03410017306655325</x:v>
      </x:c>
      <x:c r="I21" s="30" t="n">
        <x:f>C21*Inputs!$B$8/(D21+F21-C21-E21)*(EXP(-(C21+E21)*B21)-EXP(-(D21+F21)*B21))</x:f>
        <x:v>0.660839487714255</x:v>
      </x:c>
      <x:c r="J21" s="30" t="n">
        <x:f>D21*C21*Inputs!$B$8/(D21+F21-C21-E21)*((EXP(-(C21+E21)*B21)-EXP(-G21*B21))/(G21-C21-E21)-(EXP(-(D21+F21)*B21)-EXP(-G21*B21))/(G21-D21-F21))</x:f>
        <x:v>1.0760280868557475</x:v>
      </x:c>
      <x:c r="K21" s="30" t="n">
        <x:f>E21*Inputs!$B$8/(C21+E21)*(1-EXP(-(C21+E21)*B21))</x:f>
        <x:v>0.06127141370415915</x:v>
      </x:c>
      <x:c r="L21" s="30" t="n">
        <x:f>Inputs!$B$8-H21-I21-J21-K21</x:f>
        <x:v>0.1677608386592849</x:v>
      </x:c>
      <x:c r="M21" s="30" t="n">
        <x:f>(Inputs!$B$8-H21)/Inputs!$B$8</x:f>
        <x:v>0.9829499134667233</x:v>
      </x:c>
      <x:c r="N21" s="30" t="n">
        <x:f>J21/Inputs!$B$8</x:f>
        <x:v>0.5380140434278737</x:v>
      </x:c>
      <x:c r="O21" s="30" t="n">
        <x:f>J21/(Inputs!$B$8-H21)</x:f>
        <x:v>0.5473463459906878</x:v>
      </x:c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 ht="15" hidden="0" customHeight="1">
      <x:c r="A22" s="18" t="n">
        <x:v>393.15</x:v>
      </x:c>
      <x:c r="B22" s="50" t="n">
        <x:v>0.095</x:v>
      </x:c>
      <x:c r="C22" s="18" t="n">
        <x:f>VLOOKUP(A22,Inputs!$A$13:$F$15,2,FALSE)</x:f>
        <x:v>43.83</x:v>
      </x:c>
      <x:c r="D22" s="18" t="n">
        <x:f>VLOOKUP(A22,Inputs!$A$13:$F$15,3,FALSE)</x:f>
        <x:v>14.29</x:v>
      </x:c>
      <x:c r="E22" s="18" t="n">
        <x:f>VLOOKUP(A22,Inputs!$A$13:$F$15,4,FALSE)</x:f>
        <x:v>1.41</x:v>
      </x:c>
      <x:c r="F22" s="18" t="n">
        <x:f>VLOOKUP(A22,Inputs!$A$13:$F$15,5,FALSE)</x:f>
        <x:v>1.67</x:v>
      </x:c>
      <x:c r="G22" s="18" t="n">
        <x:f>VLOOKUP(A22,Inputs!$A$13:$F$15,6,FALSE)</x:f>
        <x:v>0.79</x:v>
      </x:c>
      <x:c r="H22" s="30" t="n">
        <x:f>Inputs!$B$8*EXP(-(C22+E22)*B22)</x:f>
        <x:v>0.027196885404067016</x:v>
      </x:c>
      <x:c r="I22" s="30" t="n">
        <x:f>C22*Inputs!$B$8/(D22+F22-C22-E22)*(EXP(-(C22+E22)*B22)-EXP(-(D22+F22)*B22))</x:f>
        <x:v>0.6165723292897523</x:v>
      </x:c>
      <x:c r="J22" s="30" t="n">
        <x:f>D22*C22*Inputs!$B$8/(D22+F22-C22-E22)*((EXP(-(C22+E22)*B22)-EXP(-G22*B22))/(G22-C22-E22)-(EXP(-(D22+F22)*B22)-EXP(-G22*B22))/(G22-D22-F22))</x:f>
        <x:v>1.1173186348559216</x:v>
      </x:c>
      <x:c r="K22" s="30" t="n">
        <x:f>E22*Inputs!$B$8/(C22+E22)*(1-EXP(-(C22+E22)*B22))</x:f>
        <x:v>0.06148656922149129</x:v>
      </x:c>
      <x:c r="L22" s="30" t="n">
        <x:f>Inputs!$B$8-H22-I22-J22-K22</x:f>
        <x:v>0.17742558122876786</x:v>
      </x:c>
      <x:c r="M22" s="30" t="n">
        <x:f>(Inputs!$B$8-H22)/Inputs!$B$8</x:f>
        <x:v>0.9864015572979665</x:v>
      </x:c>
      <x:c r="N22" s="30" t="n">
        <x:f>J22/Inputs!$B$8</x:f>
        <x:v>0.5586593174279608</x:v>
      </x:c>
      <x:c r="O22" s="30" t="n">
        <x:f>J22/(Inputs!$B$8-H22)</x:f>
        <x:v>0.5663609442773865</x:v>
      </x:c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 ht="15" hidden="0" customHeight="1">
      <x:c r="A23" s="18" t="n">
        <x:v>393.15</x:v>
      </x:c>
      <x:c r="B23" s="50" t="n">
        <x:v>0.1</x:v>
      </x:c>
      <x:c r="C23" s="18" t="n">
        <x:f>VLOOKUP(A23,Inputs!$A$13:$F$15,2,FALSE)</x:f>
        <x:v>43.83</x:v>
      </x:c>
      <x:c r="D23" s="18" t="n">
        <x:f>VLOOKUP(A23,Inputs!$A$13:$F$15,3,FALSE)</x:f>
        <x:v>14.29</x:v>
      </x:c>
      <x:c r="E23" s="18" t="n">
        <x:f>VLOOKUP(A23,Inputs!$A$13:$F$15,4,FALSE)</x:f>
        <x:v>1.41</x:v>
      </x:c>
      <x:c r="F23" s="18" t="n">
        <x:f>VLOOKUP(A23,Inputs!$A$13:$F$15,5,FALSE)</x:f>
        <x:v>1.67</x:v>
      </x:c>
      <x:c r="G23" s="18" t="n">
        <x:f>VLOOKUP(A23,Inputs!$A$13:$F$15,6,FALSE)</x:f>
        <x:v>0.79</x:v>
      </x:c>
      <x:c r="H23" s="30" t="n">
        <x:f>Inputs!$B$8*EXP(-(C23+E23)*B23)</x:f>
        <x:v>0.021691109140072096</x:v>
      </x:c>
      <x:c r="I23" s="30" t="n">
        <x:f>C23*Inputs!$B$8/(D23+F23-C23-E23)*(EXP(-(C23+E23)*B23)-EXP(-(D23+F23)*B23))</x:f>
        <x:v>0.5744010322347053</x:v>
      </x:c>
      <x:c r="J23" s="30" t="n">
        <x:f>D23*C23*Inputs!$B$8/(D23+F23-C23-E23)*((EXP(-(C23+E23)*B23)-EXP(-G23*B23))/(G23-C23-E23)-(EXP(-(D23+F23)*B23)-EXP(-G23*B23))/(G23-D23-F23))</x:f>
        <x:v>1.1553637091947362</x:v>
      </x:c>
      <x:c r="K23" s="30" t="n">
        <x:f>E23*Inputs!$B$8/(C23+E23)*(1-EXP(-(C23+E23)*B23))</x:f>
        <x:v>0.061658168349082644</x:v>
      </x:c>
      <x:c r="L23" s="30" t="n">
        <x:f>Inputs!$B$8-H23-I23-J23-K23</x:f>
        <x:v>0.1868859810814039</x:v>
      </x:c>
      <x:c r="M23" s="30" t="n">
        <x:f>(Inputs!$B$8-H23)/Inputs!$B$8</x:f>
        <x:v>0.989154445429964</x:v>
      </x:c>
      <x:c r="N23" s="30" t="n">
        <x:f>J23/Inputs!$B$8</x:f>
        <x:v>0.5776818545973681</x:v>
      </x:c>
      <x:c r="O23" s="30" t="n">
        <x:f>J23/(Inputs!$B$8-H23)</x:f>
        <x:v>0.5840158301530579</x:v>
      </x:c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 ht="15" hidden="0" customHeight="1">
      <x:c r="A24" s="18" t="n">
        <x:v>393.15</x:v>
      </x:c>
      <x:c r="B24" s="50" t="n">
        <x:v>0.105</x:v>
      </x:c>
      <x:c r="C24" s="18" t="n">
        <x:f>VLOOKUP(A24,Inputs!$A$13:$F$15,2,FALSE)</x:f>
        <x:v>43.83</x:v>
      </x:c>
      <x:c r="D24" s="18" t="n">
        <x:f>VLOOKUP(A24,Inputs!$A$13:$F$15,3,FALSE)</x:f>
        <x:v>14.29</x:v>
      </x:c>
      <x:c r="E24" s="18" t="n">
        <x:f>VLOOKUP(A24,Inputs!$A$13:$F$15,4,FALSE)</x:f>
        <x:v>1.41</x:v>
      </x:c>
      <x:c r="F24" s="18" t="n">
        <x:f>VLOOKUP(A24,Inputs!$A$13:$F$15,5,FALSE)</x:f>
        <x:v>1.67</x:v>
      </x:c>
      <x:c r="G24" s="18" t="n">
        <x:f>VLOOKUP(A24,Inputs!$A$13:$F$15,6,FALSE)</x:f>
        <x:v>0.79</x:v>
      </x:c>
      <x:c r="H24" s="30" t="n">
        <x:f>Inputs!$B$8*EXP(-(C24+E24)*B24)</x:f>
        <x:v>0.017299930074204765</x:v>
      </x:c>
      <x:c r="I24" s="30" t="n">
        <x:f>C24*Inputs!$B$8/(D24+F24-C24-E24)*(EXP(-(C24+E24)*B24)-EXP(-(D24+F24)*B24))</x:f>
        <x:v>0.5344278955957518</x:v>
      </x:c>
      <x:c r="J24" s="30" t="n">
        <x:f>D24*C24*Inputs!$B$8/(D24+F24-C24-E24)*((EXP(-(C24+E24)*B24)-EXP(-G24*B24))/(G24-C24-E24)-(EXP(-(D24+F24)*B24)-EXP(-G24*B24))/(G24-D24-F24))</x:f>
        <x:v>1.1903296244313075</x:v>
      </x:c>
      <x:c r="K24" s="30" t="n">
        <x:f>E24*Inputs!$B$8/(C24+E24)*(1-EXP(-(C24+E24)*B24))</x:f>
        <x:v>0.06179502870458381</x:v>
      </x:c>
      <x:c r="L24" s="30" t="n">
        <x:f>Inputs!$B$8-H24-I24-J24-K24</x:f>
        <x:v>0.19614752119415219</x:v>
      </x:c>
      <x:c r="M24" s="30" t="n">
        <x:f>(Inputs!$B$8-H24)/Inputs!$B$8</x:f>
        <x:v>0.9913500349628976</x:v>
      </x:c>
      <x:c r="N24" s="30" t="n">
        <x:f>J24/Inputs!$B$8</x:f>
        <x:v>0.5951648122156538</x:v>
      </x:c>
      <x:c r="O24" s="30" t="n">
        <x:f>J24/(Inputs!$B$8-H24)</x:f>
        <x:v>0.6003578869474983</x:v>
      </x:c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 ht="15" hidden="0" customHeight="1">
      <x:c r="A25" s="18" t="n">
        <x:v>393.15</x:v>
      </x:c>
      <x:c r="B25" s="50" t="n">
        <x:v>0.11</x:v>
      </x:c>
      <x:c r="C25" s="18" t="n">
        <x:f>VLOOKUP(A25,Inputs!$A$13:$F$15,2,FALSE)</x:f>
        <x:v>43.83</x:v>
      </x:c>
      <x:c r="D25" s="18" t="n">
        <x:f>VLOOKUP(A25,Inputs!$A$13:$F$15,3,FALSE)</x:f>
        <x:v>14.29</x:v>
      </x:c>
      <x:c r="E25" s="18" t="n">
        <x:f>VLOOKUP(A25,Inputs!$A$13:$F$15,4,FALSE)</x:f>
        <x:v>1.41</x:v>
      </x:c>
      <x:c r="F25" s="18" t="n">
        <x:f>VLOOKUP(A25,Inputs!$A$13:$F$15,5,FALSE)</x:f>
        <x:v>1.67</x:v>
      </x:c>
      <x:c r="G25" s="18" t="n">
        <x:f>VLOOKUP(A25,Inputs!$A$13:$F$15,6,FALSE)</x:f>
        <x:v>0.79</x:v>
      </x:c>
      <x:c r="H25" s="30" t="n">
        <x:f>Inputs!$B$8*EXP(-(C25+E25)*B25)</x:f>
        <x:v>0.01379770756025894</x:v>
      </x:c>
      <x:c r="I25" s="30" t="n">
        <x:f>C25*Inputs!$B$8/(D25+F25-C25-E25)*(EXP(-(C25+E25)*B25)-EXP(-(D25+F25)*B25))</x:f>
        <x:v>0.4966941200591995</x:v>
      </x:c>
      <x:c r="J25" s="30" t="n">
        <x:f>D25*C25*Inputs!$B$8/(D25+F25-C25-E25)*((EXP(-(C25+E25)*B25)-EXP(-G25*B25))/(G25-C25-E25)-(EXP(-(D25+F25)*B25)-EXP(-G25*B25))/(G25-D25-F25))</x:f>
        <x:v>1.2223870509993615</x:v>
      </x:c>
      <x:c r="K25" s="30" t="n">
        <x:f>E25*Inputs!$B$8/(C25+E25)*(1-EXP(-(C25+E25)*B25))</x:f>
        <x:v>0.06190418285455427</x:v>
      </x:c>
      <x:c r="L25" s="30" t="n">
        <x:f>Inputs!$B$8-H25-I25-J25-K25</x:f>
        <x:v>0.2052169385266259</x:v>
      </x:c>
      <x:c r="M25" s="30" t="n">
        <x:f>(Inputs!$B$8-H25)/Inputs!$B$8</x:f>
        <x:v>0.9931011462198706</x:v>
      </x:c>
      <x:c r="N25" s="30" t="n">
        <x:f>J25/Inputs!$B$8</x:f>
        <x:v>0.6111935254996808</x:v>
      </x:c>
      <x:c r="O25" s="30" t="n">
        <x:f>J25/(Inputs!$B$8-H25)</x:f>
        <x:v>0.6154393515968853</x:v>
      </x:c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 ht="15" hidden="0" customHeight="1">
      <x:c r="A26" s="18" t="n">
        <x:v>393.15</x:v>
      </x:c>
      <x:c r="B26" s="50" t="n">
        <x:v>0.115</x:v>
      </x:c>
      <x:c r="C26" s="18" t="n">
        <x:f>VLOOKUP(A26,Inputs!$A$13:$F$15,2,FALSE)</x:f>
        <x:v>43.83</x:v>
      </x:c>
      <x:c r="D26" s="18" t="n">
        <x:f>VLOOKUP(A26,Inputs!$A$13:$F$15,3,FALSE)</x:f>
        <x:v>14.29</x:v>
      </x:c>
      <x:c r="E26" s="18" t="n">
        <x:f>VLOOKUP(A26,Inputs!$A$13:$F$15,4,FALSE)</x:f>
        <x:v>1.41</x:v>
      </x:c>
      <x:c r="F26" s="18" t="n">
        <x:f>VLOOKUP(A26,Inputs!$A$13:$F$15,5,FALSE)</x:f>
        <x:v>1.67</x:v>
      </x:c>
      <x:c r="G26" s="18" t="n">
        <x:f>VLOOKUP(A26,Inputs!$A$13:$F$15,6,FALSE)</x:f>
        <x:v>0.79</x:v>
      </x:c>
      <x:c r="H26" s="30" t="n">
        <x:f>Inputs!$B$8*EXP(-(C26+E26)*B26)</x:f>
        <x:v>0.011004479966210364</x:v>
      </x:c>
      <x:c r="I26" s="30" t="n">
        <x:f>C26*Inputs!$B$8/(D26+F26-C26-E26)*(EXP(-(C26+E26)*B26)-EXP(-(D26+F26)*B26))</x:f>
        <x:v>0.46119527457092097</x:v>
      </x:c>
      <x:c r="J26" s="30" t="n">
        <x:f>D26*C26*Inputs!$B$8/(D26+F26-C26-E26)*((EXP(-(C26+E26)*B26)-EXP(-G26*B26))/(G26-C26-E26)-(EXP(-(D26+F26)*B26)-EXP(-G26*B26))/(G26-D26-F26))</x:f>
        <x:v>1.251707215399884</x:v>
      </x:c>
      <x:c r="K26" s="30" t="n">
        <x:f>E26*Inputs!$B$8/(C26+E26)*(1-EXP(-(C26+E26)*B26))</x:f>
        <x:v>0.06199123968275074</x:v>
      </x:c>
      <x:c r="L26" s="30" t="n">
        <x:f>Inputs!$B$8-H26-I26-J26-K26</x:f>
        <x:v>0.21410179038023394</x:v>
      </x:c>
      <x:c r="M26" s="30" t="n">
        <x:f>(Inputs!$B$8-H26)/Inputs!$B$8</x:f>
        <x:v>0.9944977600168948</x:v>
      </x:c>
      <x:c r="N26" s="30" t="n">
        <x:f>J26/Inputs!$B$8</x:f>
        <x:v>0.625853607699942</x:v>
      </x:c>
      <x:c r="O26" s="30" t="n">
        <x:f>J26/(Inputs!$B$8-H26)</x:f>
        <x:v>0.6293162567699598</x:v>
      </x:c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 ht="15" hidden="0" customHeight="1">
      <x:c r="A27" s="18" t="n">
        <x:v>393.15</x:v>
      </x:c>
      <x:c r="B27" s="50" t="n">
        <x:v>0.12</x:v>
      </x:c>
      <x:c r="C27" s="18" t="n">
        <x:f>VLOOKUP(A27,Inputs!$A$13:$F$15,2,FALSE)</x:f>
        <x:v>43.83</x:v>
      </x:c>
      <x:c r="D27" s="18" t="n">
        <x:f>VLOOKUP(A27,Inputs!$A$13:$F$15,3,FALSE)</x:f>
        <x:v>14.29</x:v>
      </x:c>
      <x:c r="E27" s="18" t="n">
        <x:f>VLOOKUP(A27,Inputs!$A$13:$F$15,4,FALSE)</x:f>
        <x:v>1.41</x:v>
      </x:c>
      <x:c r="F27" s="18" t="n">
        <x:f>VLOOKUP(A27,Inputs!$A$13:$F$15,5,FALSE)</x:f>
        <x:v>1.67</x:v>
      </x:c>
      <x:c r="G27" s="18" t="n">
        <x:f>VLOOKUP(A27,Inputs!$A$13:$F$15,6,FALSE)</x:f>
        <x:v>0.79</x:v>
      </x:c>
      <x:c r="H27" s="30" t="n">
        <x:f>Inputs!$B$8*EXP(-(C27+E27)*B27)</x:f>
        <x:v>0.00877671734944734</x:v>
      </x:c>
      <x:c r="I27" s="30" t="n">
        <x:f>C27*Inputs!$B$8/(D27+F27-C27-E27)*(EXP(-(C27+E27)*B27)-EXP(-(D27+F27)*B27))</x:f>
        <x:v>0.4278933942749406</x:v>
      </x:c>
      <x:c r="J27" s="30" t="n">
        <x:f>D27*C27*Inputs!$B$8/(D27+F27-C27-E27)*((EXP(-(C27+E27)*B27)-EXP(-G27*B27))/(G27-C27-E27)-(EXP(-(D27+F27)*B27)-EXP(-G27*B27))/(G27-D27-F27))</x:f>
        <x:v>1.2784590934457756</x:v>
      </x:c>
      <x:c r="K27" s="30" t="n">
        <x:f>E27*Inputs!$B$8/(C27+E27)*(1-EXP(-(C27+E27)*B27))</x:f>
        <x:v>0.06206067260250397</x:v>
      </x:c>
      <x:c r="L27" s="30" t="n">
        <x:f>Inputs!$B$8-H27-I27-J27-K27</x:f>
        <x:v>0.2228101223273326</x:v>
      </x:c>
      <x:c r="M27" s="30" t="n">
        <x:f>(Inputs!$B$8-H27)/Inputs!$B$8</x:f>
        <x:v>0.9956116413252764</x:v>
      </x:c>
      <x:c r="N27" s="30" t="n">
        <x:f>J27/Inputs!$B$8</x:f>
        <x:v>0.6392295467228878</x:v>
      </x:c>
      <x:c r="O27" s="30" t="n">
        <x:f>J27/(Inputs!$B$8-H27)</x:f>
        <x:v>0.642047079594206</x:v>
      </x:c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 ht="15" hidden="0" customHeight="1">
      <x:c r="A28" s="18" t="n">
        <x:v>393.15</x:v>
      </x:c>
      <x:c r="B28" s="50" t="n">
        <x:v>0.125</x:v>
      </x:c>
      <x:c r="C28" s="18" t="n">
        <x:f>VLOOKUP(A28,Inputs!$A$13:$F$15,2,FALSE)</x:f>
        <x:v>43.83</x:v>
      </x:c>
      <x:c r="D28" s="18" t="n">
        <x:f>VLOOKUP(A28,Inputs!$A$13:$F$15,3,FALSE)</x:f>
        <x:v>14.29</x:v>
      </x:c>
      <x:c r="E28" s="18" t="n">
        <x:f>VLOOKUP(A28,Inputs!$A$13:$F$15,4,FALSE)</x:f>
        <x:v>1.41</x:v>
      </x:c>
      <x:c r="F28" s="18" t="n">
        <x:f>VLOOKUP(A28,Inputs!$A$13:$F$15,5,FALSE)</x:f>
        <x:v>1.67</x:v>
      </x:c>
      <x:c r="G28" s="18" t="n">
        <x:f>VLOOKUP(A28,Inputs!$A$13:$F$15,6,FALSE)</x:f>
        <x:v>0.79</x:v>
      </x:c>
      <x:c r="H28" s="30" t="n">
        <x:f>Inputs!$B$8*EXP(-(C28+E28)*B28)</x:f>
        <x:v>0.006999946173614337</x:v>
      </x:c>
      <x:c r="I28" s="30" t="n">
        <x:f>C28*Inputs!$B$8/(D28+F28-C28-E28)*(EXP(-(C28+E28)*B28)-EXP(-(D28+F28)*B28))</x:f>
        <x:v>0.39672640995479796</x:v>
      </x:c>
      <x:c r="J28" s="30" t="n">
        <x:f>D28*C28*Inputs!$B$8/(D28+F28-C28-E28)*((EXP(-(C28+E28)*B28)-EXP(-G28*B28))/(G28-C28-E28)-(EXP(-(D28+F28)*B28)-EXP(-G28*B28))/(G28-D28-F28))</x:f>
        <x:v>1.302807378357351</x:v>
      </x:c>
      <x:c r="K28" s="30" t="n">
        <x:f>E28*Inputs!$B$8/(C28+E28)*(1-EXP(-(C28+E28)*B28))</x:f>
        <x:v>0.06211604942297091</x:v>
      </x:c>
      <x:c r="L28" s="30" t="n">
        <x:f>Inputs!$B$8-H28-I28-J28-K28</x:f>
        <x:v>0.2313502160912657</x:v>
      </x:c>
      <x:c r="M28" s="30" t="n">
        <x:f>(Inputs!$B$8-H28)/Inputs!$B$8</x:f>
        <x:v>0.9965000269131928</x:v>
      </x:c>
      <x:c r="N28" s="30" t="n">
        <x:f>J28/Inputs!$B$8</x:f>
        <x:v>0.6514036891786755</x:v>
      </x:c>
      <x:c r="O28" s="30" t="n">
        <x:f>J28/(Inputs!$B$8-H28)</x:f>
        <x:v>0.6536915921583017</x:v>
      </x:c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 ht="15" hidden="0" customHeight="1">
      <x:c r="A29" s="18" t="n">
        <x:v>393.15</x:v>
      </x:c>
      <x:c r="B29" s="50" t="n">
        <x:v>0.13</x:v>
      </x:c>
      <x:c r="C29" s="18" t="n">
        <x:f>VLOOKUP(A29,Inputs!$A$13:$F$15,2,FALSE)</x:f>
        <x:v>43.83</x:v>
      </x:c>
      <x:c r="D29" s="18" t="n">
        <x:f>VLOOKUP(A29,Inputs!$A$13:$F$15,3,FALSE)</x:f>
        <x:v>14.29</x:v>
      </x:c>
      <x:c r="E29" s="18" t="n">
        <x:f>VLOOKUP(A29,Inputs!$A$13:$F$15,4,FALSE)</x:f>
        <x:v>1.41</x:v>
      </x:c>
      <x:c r="F29" s="18" t="n">
        <x:f>VLOOKUP(A29,Inputs!$A$13:$F$15,5,FALSE)</x:f>
        <x:v>1.67</x:v>
      </x:c>
      <x:c r="G29" s="18" t="n">
        <x:f>VLOOKUP(A29,Inputs!$A$13:$F$15,6,FALSE)</x:f>
        <x:v>0.79</x:v>
      </x:c>
      <x:c r="H29" s="30" t="n">
        <x:f>Inputs!$B$8*EXP(-(C29+E29)*B29)</x:f>
        <x:v>0.005582867088295082</x:v>
      </x:c>
      <x:c r="I29" s="30" t="n">
        <x:f>C29*Inputs!$B$8/(D29+F29-C29-E29)*(EXP(-(C29+E29)*B29)-EXP(-(D29+F29)*B29))</x:f>
        <x:v>0.36761546601778394</x:v>
      </x:c>
      <x:c r="J29" s="30" t="n">
        <x:f>D29*C29*Inputs!$B$8/(D29+F29-C29-E29)*((EXP(-(C29+E29)*B29)-EXP(-G29*B29))/(G29-C29-E29)-(EXP(-(D29+F29)*B29)-EXP(-G29*B29))/(G29-D29-F29))</x:f>
        <x:v>1.3249110509970976</x:v>
      </x:c>
      <x:c r="K29" s="30" t="n">
        <x:f>E29*Inputs!$B$8/(C29+E29)*(1-EXP(-(C29+E29)*B29))</x:f>
        <x:v>0.062160215680935105</x:v>
      </x:c>
      <x:c r="L29" s="30" t="n">
        <x:f>Inputs!$B$8-H29-I29-J29-K29</x:f>
        <x:v>0.2397304002158882</x:v>
      </x:c>
      <x:c r="M29" s="30" t="n">
        <x:f>(Inputs!$B$8-H29)/Inputs!$B$8</x:f>
        <x:v>0.9972085664558524</x:v>
      </x:c>
      <x:c r="N29" s="30" t="n">
        <x:f>J29/Inputs!$B$8</x:f>
        <x:v>0.6624555254985488</x:v>
      </x:c>
      <x:c r="O29" s="30" t="n">
        <x:f>J29/(Inputs!$B$8-H29)</x:f>
        <x:v>0.6643099024439402</x:v>
      </x:c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 ht="15" hidden="0" customHeight="1">
      <x:c r="A30" s="18" t="n">
        <x:v>393.15</x:v>
      </x:c>
      <x:c r="B30" s="50" t="n">
        <x:v>0.135</x:v>
      </x:c>
      <x:c r="C30" s="18" t="n">
        <x:f>VLOOKUP(A30,Inputs!$A$13:$F$15,2,FALSE)</x:f>
        <x:v>43.83</x:v>
      </x:c>
      <x:c r="D30" s="18" t="n">
        <x:f>VLOOKUP(A30,Inputs!$A$13:$F$15,3,FALSE)</x:f>
        <x:v>14.29</x:v>
      </x:c>
      <x:c r="E30" s="18" t="n">
        <x:f>VLOOKUP(A30,Inputs!$A$13:$F$15,4,FALSE)</x:f>
        <x:v>1.41</x:v>
      </x:c>
      <x:c r="F30" s="18" t="n">
        <x:f>VLOOKUP(A30,Inputs!$A$13:$F$15,5,FALSE)</x:f>
        <x:v>1.67</x:v>
      </x:c>
      <x:c r="G30" s="18" t="n">
        <x:f>VLOOKUP(A30,Inputs!$A$13:$F$15,6,FALSE)</x:f>
        <x:v>0.79</x:v>
      </x:c>
      <x:c r="H30" s="30" t="n">
        <x:f>Inputs!$B$8*EXP(-(C30+E30)*B30)</x:f>
        <x:v>0.0044526635137645655</x:v>
      </x:c>
      <x:c r="I30" s="30" t="n">
        <x:f>C30*Inputs!$B$8/(D30+F30-C30-E30)*(EXP(-(C30+E30)*B30)-EXP(-(D30+F30)*B30))</x:f>
        <x:v>0.34047057000364017</x:v>
      </x:c>
      <x:c r="J30" s="30" t="n">
        <x:f>D30*C30*Inputs!$B$8/(D30+F30-C30-E30)*((EXP(-(C30+E30)*B30)-EXP(-G30*B30))/(G30-C30-E30)-(EXP(-(D30+F30)*B30)-EXP(-G30*B30))/(G30-D30-F30))</x:f>
        <x:v>1.3449224157117536</x:v>
      </x:c>
      <x:c r="K30" s="30" t="n">
        <x:f>E30*Inputs!$B$8/(C30+E30)*(1-EXP(-(C30+E30)*B30))</x:f>
        <x:v>0.06219544085865589</x:v>
      </x:c>
      <x:c r="L30" s="30" t="n">
        <x:f>Inputs!$B$8-H30-I30-J30-K30</x:f>
        <x:v>0.24795890991218586</x:v>
      </x:c>
      <x:c r="M30" s="30" t="n">
        <x:f>(Inputs!$B$8-H30)/Inputs!$B$8</x:f>
        <x:v>0.9977736682431178</x:v>
      </x:c>
      <x:c r="N30" s="30" t="n">
        <x:f>J30/Inputs!$B$8</x:f>
        <x:v>0.6724612078558768</x:v>
      </x:c>
      <x:c r="O30" s="30" t="n">
        <x:f>J30/(Inputs!$B$8-H30)</x:f>
        <x:v>0.6739616701249975</x:v>
      </x:c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 ht="15" hidden="0" customHeight="1">
      <x:c r="A31" s="18" t="n">
        <x:v>393.15</x:v>
      </x:c>
      <x:c r="B31" s="50" t="n">
        <x:v>0.14</x:v>
      </x:c>
      <x:c r="C31" s="18" t="n">
        <x:f>VLOOKUP(A31,Inputs!$A$13:$F$15,2,FALSE)</x:f>
        <x:v>43.83</x:v>
      </x:c>
      <x:c r="D31" s="18" t="n">
        <x:f>VLOOKUP(A31,Inputs!$A$13:$F$15,3,FALSE)</x:f>
        <x:v>14.29</x:v>
      </x:c>
      <x:c r="E31" s="18" t="n">
        <x:f>VLOOKUP(A31,Inputs!$A$13:$F$15,4,FALSE)</x:f>
        <x:v>1.41</x:v>
      </x:c>
      <x:c r="F31" s="18" t="n">
        <x:f>VLOOKUP(A31,Inputs!$A$13:$F$15,5,FALSE)</x:f>
        <x:v>1.67</x:v>
      </x:c>
      <x:c r="G31" s="18" t="n">
        <x:f>VLOOKUP(A31,Inputs!$A$13:$F$15,6,FALSE)</x:f>
        <x:v>0.79</x:v>
      </x:c>
      <x:c r="H31" s="30" t="n">
        <x:f>Inputs!$B$8*EXP(-(C31+E31)*B31)</x:f>
        <x:v>0.003551259962533837</x:v>
      </x:c>
      <x:c r="I31" s="30" t="n">
        <x:f>C31*Inputs!$B$8/(D31+F31-C31-E31)*(EXP(-(C31+E31)*B31)-EXP(-(D31+F31)*B31))</x:f>
        <x:v>0.31519492572995295</x:v>
      </x:c>
      <x:c r="J31" s="30" t="n">
        <x:f>D31*C31*Inputs!$B$8/(D31+F31-C31-E31)*((EXP(-(C31+E31)*B31)-EXP(-G31*B31))/(G31-C31-E31)-(EXP(-(D31+F31)*B31)-EXP(-G31*B31))/(G31-D31-F31))</x:f>
        <x:v>1.362986494011903</x:v>
      </x:c>
      <x:c r="K31" s="30" t="n">
        <x:f>E31*Inputs!$B$8/(C31+E31)*(1-EXP(-(C31+E31)*B31))</x:f>
        <x:v>0.062223535001167715</x:v>
      </x:c>
      <x:c r="L31" s="30" t="n">
        <x:f>Inputs!$B$8-H31-I31-J31-K31</x:f>
        <x:v>0.2560437852944426</x:v>
      </x:c>
      <x:c r="M31" s="30" t="n">
        <x:f>(Inputs!$B$8-H31)/Inputs!$B$8</x:f>
        <x:v>0.9982243700187331</x:v>
      </x:c>
      <x:c r="N31" s="30" t="n">
        <x:f>J31/Inputs!$B$8</x:f>
        <x:v>0.6814932470059515</x:v>
      </x:c>
      <x:c r="O31" s="30" t="n">
        <x:f>J31/(Inputs!$B$8-H31)</x:f>
        <x:v>0.6827054793234133</x:v>
      </x:c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 ht="15" hidden="0" customHeight="1">
      <x:c r="A32" s="18" t="n">
        <x:v>393.15</x:v>
      </x:c>
      <x:c r="B32" s="50" t="n">
        <x:v>0.145</x:v>
      </x:c>
      <x:c r="C32" s="18" t="n">
        <x:f>VLOOKUP(A32,Inputs!$A$13:$F$15,2,FALSE)</x:f>
        <x:v>43.83</x:v>
      </x:c>
      <x:c r="D32" s="18" t="n">
        <x:f>VLOOKUP(A32,Inputs!$A$13:$F$15,3,FALSE)</x:f>
        <x:v>14.29</x:v>
      </x:c>
      <x:c r="E32" s="18" t="n">
        <x:f>VLOOKUP(A32,Inputs!$A$13:$F$15,4,FALSE)</x:f>
        <x:v>1.41</x:v>
      </x:c>
      <x:c r="F32" s="18" t="n">
        <x:f>VLOOKUP(A32,Inputs!$A$13:$F$15,5,FALSE)</x:f>
        <x:v>1.67</x:v>
      </x:c>
      <x:c r="G32" s="18" t="n">
        <x:f>VLOOKUP(A32,Inputs!$A$13:$F$15,6,FALSE)</x:f>
        <x:v>0.79</x:v>
      </x:c>
      <x:c r="H32" s="30" t="n">
        <x:f>Inputs!$B$8*EXP(-(C32+E32)*B32)</x:f>
        <x:v>0.002832337831616951</x:v>
      </x:c>
      <x:c r="I32" s="30" t="n">
        <x:f>C32*Inputs!$B$8/(D32+F32-C32-E32)*(EXP(-(C32+E32)*B32)-EXP(-(D32+F32)*B32))</x:f>
        <x:v>0.29168822980422526</x:v>
      </x:c>
      <x:c r="J32" s="30" t="n">
        <x:f>D32*C32*Inputs!$B$8/(D32+F32-C32-E32)*((EXP(-(C32+E32)*B32)-EXP(-G32*B32))/(G32-C32-E32)-(EXP(-(D32+F32)*B32)-EXP(-G32*B32))/(G32-D32-F32))</x:f>
        <x:v>1.3792406911726678</x:v>
      </x:c>
      <x:c r="K32" s="30" t="n">
        <x:f>E32*Inputs!$B$8/(C32+E32)*(1-EXP(-(C32+E32)*B32))</x:f>
        <x:v>0.06224594172540717</x:v>
      </x:c>
      <x:c r="L32" s="30" t="n">
        <x:f>Inputs!$B$8-H32-I32-J32-K32</x:f>
        <x:v>0.26399279946608284</x:v>
      </x:c>
      <x:c r="M32" s="30" t="n">
        <x:f>(Inputs!$B$8-H32)/Inputs!$B$8</x:f>
        <x:v>0.9985838310841916</x:v>
      </x:c>
      <x:c r="N32" s="30" t="n">
        <x:f>J32/Inputs!$B$8</x:f>
        <x:v>0.6896203455863339</x:v>
      </x:c>
      <x:c r="O32" s="30" t="n">
        <x:f>J32/(Inputs!$B$8-H32)</x:f>
        <x:v>0.6905983495022076</x:v>
      </x:c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 ht="15" hidden="0" customHeight="1">
      <x:c r="A33" s="18" t="n">
        <x:v>393.15</x:v>
      </x:c>
      <x:c r="B33" s="50" t="n">
        <x:v>0.15</x:v>
      </x:c>
      <x:c r="C33" s="18" t="n">
        <x:f>VLOOKUP(A33,Inputs!$A$13:$F$15,2,FALSE)</x:f>
        <x:v>43.83</x:v>
      </x:c>
      <x:c r="D33" s="18" t="n">
        <x:f>VLOOKUP(A33,Inputs!$A$13:$F$15,3,FALSE)</x:f>
        <x:v>14.29</x:v>
      </x:c>
      <x:c r="E33" s="18" t="n">
        <x:f>VLOOKUP(A33,Inputs!$A$13:$F$15,4,FALSE)</x:f>
        <x:v>1.41</x:v>
      </x:c>
      <x:c r="F33" s="18" t="n">
        <x:f>VLOOKUP(A33,Inputs!$A$13:$F$15,5,FALSE)</x:f>
        <x:v>1.67</x:v>
      </x:c>
      <x:c r="G33" s="18" t="n">
        <x:f>VLOOKUP(A33,Inputs!$A$13:$F$15,6,FALSE)</x:f>
        <x:v>0.79</x:v>
      </x:c>
      <x:c r="H33" s="30" t="n">
        <x:f>Inputs!$B$8*EXP(-(C33+E33)*B33)</x:f>
        <x:v>0.0022589553220668155</x:v>
      </x:c>
      <x:c r="I33" s="30" t="n">
        <x:f>C33*Inputs!$B$8/(D33+F33-C33-E33)*(EXP(-(C33+E33)*B33)-EXP(-(D33+F33)*B33))</x:f>
        <x:v>0.2698491535879092</x:v>
      </x:c>
      <x:c r="J33" s="30" t="n">
        <x:f>D33*C33*Inputs!$B$8/(D33+F33-C33-E33)*((EXP(-(C33+E33)*B33)-EXP(-G33*B33))/(G33-C33-E33)-(EXP(-(D33+F33)*B33)-EXP(-G33*B33))/(G33-D33-F33))</x:f>
        <x:v>1.3938146689865438</x:v>
      </x:c>
      <x:c r="K33" s="30" t="n">
        <x:f>E33*Inputs!$B$8/(C33+E33)*(1-EXP(-(C33+E33)*B33))</x:f>
        <x:v>0.062263812400439565</x:v>
      </x:c>
      <x:c r="L33" s="30" t="n">
        <x:f>Inputs!$B$8-H33-I33-J33-K33</x:f>
        <x:v>0.2718134097030407</x:v>
      </x:c>
      <x:c r="M33" s="30" t="n">
        <x:f>(Inputs!$B$8-H33)/Inputs!$B$8</x:f>
        <x:v>0.9988705223389666</x:v>
      </x:c>
      <x:c r="N33" s="30" t="n">
        <x:f>J33/Inputs!$B$8</x:f>
        <x:v>0.6969073344932719</x:v>
      </x:c>
      <x:c r="O33" s="30" t="n">
        <x:f>J33/(Inputs!$B$8-H33)</x:f>
        <x:v>0.6976953658231757</x:v>
      </x:c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 ht="15" hidden="0" customHeight="1">
      <x:c r="A34" s="18" t="n">
        <x:v>393.15</x:v>
      </x:c>
      <x:c r="B34" s="50" t="n">
        <x:v>0.155</x:v>
      </x:c>
      <x:c r="C34" s="18" t="n">
        <x:f>VLOOKUP(A34,Inputs!$A$13:$F$15,2,FALSE)</x:f>
        <x:v>43.83</x:v>
      </x:c>
      <x:c r="D34" s="18" t="n">
        <x:f>VLOOKUP(A34,Inputs!$A$13:$F$15,3,FALSE)</x:f>
        <x:v>14.29</x:v>
      </x:c>
      <x:c r="E34" s="18" t="n">
        <x:f>VLOOKUP(A34,Inputs!$A$13:$F$15,4,FALSE)</x:f>
        <x:v>1.41</x:v>
      </x:c>
      <x:c r="F34" s="18" t="n">
        <x:f>VLOOKUP(A34,Inputs!$A$13:$F$15,5,FALSE)</x:f>
        <x:v>1.67</x:v>
      </x:c>
      <x:c r="G34" s="18" t="n">
        <x:f>VLOOKUP(A34,Inputs!$A$13:$F$15,6,FALSE)</x:f>
        <x:v>0.79</x:v>
      </x:c>
      <x:c r="H34" s="30" t="n">
        <x:f>Inputs!$B$8*EXP(-(C34+E34)*B34)</x:f>
        <x:v>0.0018016491853942464</x:v>
      </x:c>
      <x:c r="I34" s="30" t="n">
        <x:f>C34*Inputs!$B$8/(D34+F34-C34-E34)*(EXP(-(C34+E34)*B34)-EXP(-(D34+F34)*B34))</x:f>
        <x:v>0.24957718680056462</x:v>
      </x:c>
      <x:c r="J34" s="30" t="n">
        <x:f>D34*C34*Inputs!$B$8/(D34+F34-C34-E34)*((EXP(-(C34+E34)*B34)-EXP(-G34*B34))/(G34-C34-E34)-(EXP(-(D34+F34)*B34)-EXP(-G34*B34))/(G34-D34-F34))</x:f>
        <x:v>1.4068303722996556</x:v>
      </x:c>
      <x:c r="K34" s="30" t="n">
        <x:f>E34*Inputs!$B$8/(C34+E34)*(1-EXP(-(C34+E34)*B34))</x:f>
        <x:v>0.0622780653105348</x:v>
      </x:c>
      <x:c r="L34" s="30" t="n">
        <x:f>Inputs!$B$8-H34-I34-J34-K34</x:f>
        <x:v>0.2795127264038506</x:v>
      </x:c>
      <x:c r="M34" s="30" t="n">
        <x:f>(Inputs!$B$8-H34)/Inputs!$B$8</x:f>
        <x:v>0.9990991754073029</x:v>
      </x:c>
      <x:c r="N34" s="30" t="n">
        <x:f>J34/Inputs!$B$8</x:f>
        <x:v>0.7034151861498278</x:v>
      </x:c>
      <x:c r="O34" s="30" t="n">
        <x:f>J34/(Inputs!$B$8-H34)</x:f>
        <x:v>0.7040494111738872</x:v>
      </x:c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 ht="15" hidden="0" customHeight="1">
      <x:c r="A35" s="18" t="n">
        <x:v>393.15</x:v>
      </x:c>
      <x:c r="B35" s="50" t="n">
        <x:v>0.16</x:v>
      </x:c>
      <x:c r="C35" s="18" t="n">
        <x:f>VLOOKUP(A35,Inputs!$A$13:$F$15,2,FALSE)</x:f>
        <x:v>43.83</x:v>
      </x:c>
      <x:c r="D35" s="18" t="n">
        <x:f>VLOOKUP(A35,Inputs!$A$13:$F$15,3,FALSE)</x:f>
        <x:v>14.29</x:v>
      </x:c>
      <x:c r="E35" s="18" t="n">
        <x:f>VLOOKUP(A35,Inputs!$A$13:$F$15,4,FALSE)</x:f>
        <x:v>1.41</x:v>
      </x:c>
      <x:c r="F35" s="18" t="n">
        <x:f>VLOOKUP(A35,Inputs!$A$13:$F$15,5,FALSE)</x:f>
        <x:v>1.67</x:v>
      </x:c>
      <x:c r="G35" s="18" t="n">
        <x:f>VLOOKUP(A35,Inputs!$A$13:$F$15,6,FALSE)</x:f>
        <x:v>0.79</x:v>
      </x:c>
      <x:c r="H35" s="30" t="n">
        <x:f>Inputs!$B$8*EXP(-(C35+E35)*B35)</x:f>
        <x:v>0.001436920755148845</x:v>
      </x:c>
      <x:c r="I35" s="30" t="n">
        <x:f>C35*Inputs!$B$8/(D35+F35-C35-E35)*(EXP(-(C35+E35)*B35)-EXP(-(D35+F35)*B35))</x:f>
        <x:v>0.23077398241859914</x:v>
      </x:c>
      <x:c r="J35" s="30" t="n">
        <x:f>D35*C35*Inputs!$B$8/(D35+F35-C35-E35)*((EXP(-(C35+E35)*B35)-EXP(-G35*B35))/(G35-C35-E35)-(EXP(-(D35+F35)*B35)-EXP(-G35*B35))/(G35-D35-F35))</x:f>
        <x:v>1.418402168380018</x:v>
      </x:c>
      <x:c r="K35" s="30" t="n">
        <x:f>E35*Inputs!$B$8/(C35+E35)*(1-EXP(-(C35+E35)*B35))</x:f>
        <x:v>0.06228943284118568</x:v>
      </x:c>
      <x:c r="L35" s="30" t="n">
        <x:f>Inputs!$B$8-H35-I35-J35-K35</x:f>
        <x:v>0.28709749560504816</x:v>
      </x:c>
      <x:c r="M35" s="30" t="n">
        <x:f>(Inputs!$B$8-H35)/Inputs!$B$8</x:f>
        <x:v>0.9992815396224256</x:v>
      </x:c>
      <x:c r="N35" s="30" t="n">
        <x:f>J35/Inputs!$B$8</x:f>
        <x:v>0.709201084190009</x:v>
      </x:c>
      <x:c r="O35" s="30" t="n">
        <x:f>J35/(Inputs!$B$8-H35)</x:f>
        <x:v>0.7097109834111193</x:v>
      </x:c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 ht="15" hidden="0" customHeight="1">
      <x:c r="A36" s="18" t="n">
        <x:v>393.15</x:v>
      </x:c>
      <x:c r="B36" s="50" t="n">
        <x:v>0.165</x:v>
      </x:c>
      <x:c r="C36" s="18" t="n">
        <x:f>VLOOKUP(A36,Inputs!$A$13:$F$15,2,FALSE)</x:f>
        <x:v>43.83</x:v>
      </x:c>
      <x:c r="D36" s="18" t="n">
        <x:f>VLOOKUP(A36,Inputs!$A$13:$F$15,3,FALSE)</x:f>
        <x:v>14.29</x:v>
      </x:c>
      <x:c r="E36" s="18" t="n">
        <x:f>VLOOKUP(A36,Inputs!$A$13:$F$15,4,FALSE)</x:f>
        <x:v>1.41</x:v>
      </x:c>
      <x:c r="F36" s="18" t="n">
        <x:f>VLOOKUP(A36,Inputs!$A$13:$F$15,5,FALSE)</x:f>
        <x:v>1.67</x:v>
      </x:c>
      <x:c r="G36" s="18" t="n">
        <x:f>VLOOKUP(A36,Inputs!$A$13:$F$15,6,FALSE)</x:f>
        <x:v>0.79</x:v>
      </x:c>
      <x:c r="H36" s="30" t="n">
        <x:f>Inputs!$B$8*EXP(-(C36+E36)*B36)</x:f>
        <x:v>0.0011460284684255608</x:v>
      </x:c>
      <x:c r="I36" s="30" t="n">
        <x:f>C36*Inputs!$B$8/(D36+F36-C36-E36)*(EXP(-(C36+E36)*B36)-EXP(-(D36+F36)*B36))</x:f>
        <x:v>0.2133443134516916</x:v>
      </x:c>
      <x:c r="J36" s="30" t="n">
        <x:f>D36*C36*Inputs!$B$8/(D36+F36-C36-E36)*((EXP(-(C36+E36)*B36)-EXP(-G36*B36))/(G36-C36-E36)-(EXP(-(D36+F36)*B36)-EXP(-G36*B36))/(G36-D36-F36))</x:f>
        <x:v>1.4286370672097752</x:v>
      </x:c>
      <x:c r="K36" s="30" t="n">
        <x:f>E36*Inputs!$B$8/(C36+E36)*(1-EXP(-(C36+E36)*B36))</x:f>
        <x:v>0.06229849911272149</x:v>
      </x:c>
      <x:c r="L36" s="30" t="n">
        <x:f>Inputs!$B$8-H36-I36-J36-K36</x:f>
        <x:v>0.2945740917573861</x:v>
      </x:c>
      <x:c r="M36" s="30" t="n">
        <x:f>(Inputs!$B$8-H36)/Inputs!$B$8</x:f>
        <x:v>0.9994269857657873</x:v>
      </x:c>
      <x:c r="N36" s="30" t="n">
        <x:f>J36/Inputs!$B$8</x:f>
        <x:v>0.7143185336048876</x:v>
      </x:c>
      <x:c r="O36" s="30" t="n">
        <x:f>J36/(Inputs!$B$8-H36)</x:f>
        <x:v>0.714728082970021</x:v>
      </x:c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 ht="15" hidden="0" customHeight="1">
      <x:c r="A37" s="18" t="n">
        <x:v>393.15</x:v>
      </x:c>
      <x:c r="B37" s="50" t="n">
        <x:v>0.17</x:v>
      </x:c>
      <x:c r="C37" s="18" t="n">
        <x:f>VLOOKUP(A37,Inputs!$A$13:$F$15,2,FALSE)</x:f>
        <x:v>43.83</x:v>
      </x:c>
      <x:c r="D37" s="18" t="n">
        <x:f>VLOOKUP(A37,Inputs!$A$13:$F$15,3,FALSE)</x:f>
        <x:v>14.29</x:v>
      </x:c>
      <x:c r="E37" s="18" t="n">
        <x:f>VLOOKUP(A37,Inputs!$A$13:$F$15,4,FALSE)</x:f>
        <x:v>1.41</x:v>
      </x:c>
      <x:c r="F37" s="18" t="n">
        <x:f>VLOOKUP(A37,Inputs!$A$13:$F$15,5,FALSE)</x:f>
        <x:v>1.67</x:v>
      </x:c>
      <x:c r="G37" s="18" t="n">
        <x:f>VLOOKUP(A37,Inputs!$A$13:$F$15,6,FALSE)</x:f>
        <x:v>0.79</x:v>
      </x:c>
      <x:c r="H37" s="30" t="n">
        <x:f>Inputs!$B$8*EXP(-(C37+E37)*B37)</x:f>
        <x:v>0.0009140248310393357</x:v>
      </x:c>
      <x:c r="I37" s="30" t="n">
        <x:f>C37*Inputs!$B$8/(D37+F37-C37-E37)*(EXP(-(C37+E37)*B37)-EXP(-(D37+F37)*B37))</x:f>
        <x:v>0.1971967290552133</x:v>
      </x:c>
      <x:c r="J37" s="30" t="n">
        <x:f>D37*C37*Inputs!$B$8/(D37+F37-C37-E37)*((EXP(-(C37+E37)*B37)-EXP(-G37*B37))/(G37-C37-E37)-(EXP(-(D37+F37)*B37)-EXP(-G37*B37))/(G37-D37-F37))</x:f>
        <x:v>1.4376349979482541</x:v>
      </x:c>
      <x:c r="K37" s="30" t="n">
        <x:f>E37*Inputs!$B$8/(C37+E37)*(1-EXP(-(C37+E37)*B37))</x:f>
        <x:v>0.06230572999531907</x:v>
      </x:c>
      <x:c r="L37" s="30" t="n">
        <x:f>Inputs!$B$8-H37-I37-J37-K37</x:f>
        <x:v>0.30194851817017426</x:v>
      </x:c>
      <x:c r="M37" s="30" t="n">
        <x:f>(Inputs!$B$8-H37)/Inputs!$B$8</x:f>
        <x:v>0.9995429875844803</x:v>
      </x:c>
      <x:c r="N37" s="30" t="n">
        <x:f>J37/Inputs!$B$8</x:f>
        <x:v>0.7188174989741271</x:v>
      </x:c>
      <x:c r="O37" s="30" t="n">
        <x:f>J37/(Inputs!$B$8-H37)</x:f>
        <x:v>0.7191461576967677</x:v>
      </x:c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 ht="15" hidden="0" customHeight="1">
      <x:c r="A38" s="18" t="n">
        <x:v>393.15</x:v>
      </x:c>
      <x:c r="B38" s="50" t="n">
        <x:v>0.17500000000000002</x:v>
      </x:c>
      <x:c r="C38" s="18" t="n">
        <x:f>VLOOKUP(A38,Inputs!$A$13:$F$15,2,FALSE)</x:f>
        <x:v>43.83</x:v>
      </x:c>
      <x:c r="D38" s="18" t="n">
        <x:f>VLOOKUP(A38,Inputs!$A$13:$F$15,3,FALSE)</x:f>
        <x:v>14.29</x:v>
      </x:c>
      <x:c r="E38" s="18" t="n">
        <x:f>VLOOKUP(A38,Inputs!$A$13:$F$15,4,FALSE)</x:f>
        <x:v>1.41</x:v>
      </x:c>
      <x:c r="F38" s="18" t="n">
        <x:f>VLOOKUP(A38,Inputs!$A$13:$F$15,5,FALSE)</x:f>
        <x:v>1.67</x:v>
      </x:c>
      <x:c r="G38" s="18" t="n">
        <x:f>VLOOKUP(A38,Inputs!$A$13:$F$15,6,FALSE)</x:f>
        <x:v>0.79</x:v>
      </x:c>
      <x:c r="H38" s="30" t="n">
        <x:f>Inputs!$B$8*EXP(-(C38+E38)*B38)</x:f>
        <x:v>0.0007289883408430799</x:v>
      </x:c>
      <x:c r="I38" s="30" t="n">
        <x:f>C38*Inputs!$B$8/(D38+F38-C38-E38)*(EXP(-(C38+E38)*B38)-EXP(-(D38+F38)*B38))</x:f>
        <x:v>0.18224397905020423</x:v>
      </x:c>
      <x:c r="J38" s="30" t="n">
        <x:f>D38*C38*Inputs!$B$8/(D38+F38-C38-E38)*((EXP(-(C38+E38)*B38)-EXP(-G38*B38))/(G38-C38-E38)-(EXP(-(D38+F38)*B38)-EXP(-G38*B38))/(G38-D38-F38))</x:f>
        <x:v>1.4454891224657833</x:v>
      </x:c>
      <x:c r="K38" s="30" t="n">
        <x:f>E38*Inputs!$B$8/(C38+E38)*(1-EXP(-(C38+E38)*B38))</x:f>
        <x:v>0.06231149704773235</x:v>
      </x:c>
      <x:c r="L38" s="30" t="n">
        <x:f>Inputs!$B$8-H38-I38-J38-K38</x:f>
        <x:v>0.30922641309543714</x:v>
      </x:c>
      <x:c r="M38" s="30" t="n">
        <x:f>(Inputs!$B$8-H38)/Inputs!$B$8</x:f>
        <x:v>0.9996355058295785</x:v>
      </x:c>
      <x:c r="N38" s="30" t="n">
        <x:f>J38/Inputs!$B$8</x:f>
        <x:v>0.7227445612328917</x:v>
      </x:c>
      <x:c r="O38" s="30" t="n">
        <x:f>J38/(Inputs!$B$8-H38)</x:f>
        <x:v>0.7230080934681283</x:v>
      </x:c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 ht="15" hidden="0" customHeight="1">
      <x:c r="A39" s="18" t="n">
        <x:v>393.15</x:v>
      </x:c>
      <x:c r="B39" s="50" t="n">
        <x:v>0.18</x:v>
      </x:c>
      <x:c r="C39" s="18" t="n">
        <x:f>VLOOKUP(A39,Inputs!$A$13:$F$15,2,FALSE)</x:f>
        <x:v>43.83</x:v>
      </x:c>
      <x:c r="D39" s="18" t="n">
        <x:f>VLOOKUP(A39,Inputs!$A$13:$F$15,3,FALSE)</x:f>
        <x:v>14.29</x:v>
      </x:c>
      <x:c r="E39" s="18" t="n">
        <x:f>VLOOKUP(A39,Inputs!$A$13:$F$15,4,FALSE)</x:f>
        <x:v>1.41</x:v>
      </x:c>
      <x:c r="F39" s="18" t="n">
        <x:f>VLOOKUP(A39,Inputs!$A$13:$F$15,5,FALSE)</x:f>
        <x:v>1.67</x:v>
      </x:c>
      <x:c r="G39" s="18" t="n">
        <x:f>VLOOKUP(A39,Inputs!$A$13:$F$15,6,FALSE)</x:f>
        <x:v>0.79</x:v>
      </x:c>
      <x:c r="H39" s="30" t="n">
        <x:f>Inputs!$B$8*EXP(-(C39+E39)*B39)</x:f>
        <x:v>0.0005814109015844417</x:v>
      </x:c>
      <x:c r="I39" s="30" t="n">
        <x:f>C39*Inputs!$B$8/(D39+F39-C39-E39)*(EXP(-(C39+E39)*B39)-EXP(-(D39+F39)*B39))</x:f>
        <x:v>0.1684032613102276</x:v>
      </x:c>
      <x:c r="J39" s="30" t="n">
        <x:f>D39*C39*Inputs!$B$8/(D39+F39-C39-E39)*((EXP(-(C39+E39)*B39)-EXP(-G39*B39))/(G39-C39-E39)-(EXP(-(D39+F39)*B39)-EXP(-G39*B39))/(G39-D39-F39))</x:f>
        <x:v>1.4522861713076372</x:v>
      </x:c>
      <x:c r="K39" s="30" t="n">
        <x:f>E39*Inputs!$B$8/(C39+E39)*(1-EXP(-(C39+E39)*B39))</x:f>
        <x:v>0.062316096609831256</x:v>
      </x:c>
      <x:c r="L39" s="30" t="n">
        <x:f>Inputs!$B$8-H39-I39-J39-K39</x:f>
        <x:v>0.31641305987071955</x:v>
      </x:c>
      <x:c r="M39" s="30" t="n">
        <x:f>(Inputs!$B$8-H39)/Inputs!$B$8</x:f>
        <x:v>0.9997092945492078</x:v>
      </x:c>
      <x:c r="N39" s="30" t="n">
        <x:f>J39/Inputs!$B$8</x:f>
        <x:v>0.7261430856538186</x:v>
      </x:c>
      <x:c r="O39" s="30" t="n">
        <x:f>J39/(Inputs!$B$8-H39)</x:f>
        <x:v>0.7263542407908226</x:v>
      </x:c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 ht="15" hidden="0" customHeight="1">
      <x:c r="A40" s="18" t="n">
        <x:v>393.15</x:v>
      </x:c>
      <x:c r="B40" s="50" t="n">
        <x:v>0.185</x:v>
      </x:c>
      <x:c r="C40" s="18" t="n">
        <x:f>VLOOKUP(A40,Inputs!$A$13:$F$15,2,FALSE)</x:f>
        <x:v>43.83</x:v>
      </x:c>
      <x:c r="D40" s="18" t="n">
        <x:f>VLOOKUP(A40,Inputs!$A$13:$F$15,3,FALSE)</x:f>
        <x:v>14.29</x:v>
      </x:c>
      <x:c r="E40" s="18" t="n">
        <x:f>VLOOKUP(A40,Inputs!$A$13:$F$15,4,FALSE)</x:f>
        <x:v>1.41</x:v>
      </x:c>
      <x:c r="F40" s="18" t="n">
        <x:f>VLOOKUP(A40,Inputs!$A$13:$F$15,5,FALSE)</x:f>
        <x:v>1.67</x:v>
      </x:c>
      <x:c r="G40" s="18" t="n">
        <x:f>VLOOKUP(A40,Inputs!$A$13:$F$15,6,FALSE)</x:f>
        <x:v>0.79</x:v>
      </x:c>
      <x:c r="H40" s="30" t="n">
        <x:f>Inputs!$B$8*EXP(-(C40+E40)*B40)</x:f>
        <x:v>0.0004637092495749506</x:v>
      </x:c>
      <x:c r="I40" s="30" t="n">
        <x:f>C40*Inputs!$B$8/(D40+F40-C40-E40)*(EXP(-(C40+E40)*B40)-EXP(-(D40+F40)*B40))</x:f>
        <x:v>0.15559633486857172</x:v>
      </x:c>
      <x:c r="J40" s="30" t="n">
        <x:f>D40*C40*Inputs!$B$8/(D40+F40-C40-E40)*((EXP(-(C40+E40)*B40)-EXP(-G40*B40))/(G40-C40-E40)-(EXP(-(D40+F40)*B40)-EXP(-G40*B40))/(G40-D40-F40))</x:f>
        <x:v>1.4581067909586802</x:v>
      </x:c>
      <x:c r="K40" s="30" t="n">
        <x:f>E40*Inputs!$B$8/(C40+E40)*(1-EXP(-(C40+E40)*B40))</x:f>
        <x:v>0.06231976503001988</x:v>
      </x:c>
      <x:c r="L40" s="30" t="n">
        <x:f>Inputs!$B$8-H40-I40-J40-K40</x:f>
        <x:v>0.3235133998931533</x:v>
      </x:c>
      <x:c r="M40" s="30" t="n">
        <x:f>(Inputs!$B$8-H40)/Inputs!$B$8</x:f>
        <x:v>0.9997681453752125</x:v>
      </x:c>
      <x:c r="N40" s="30" t="n">
        <x:f>J40/Inputs!$B$8</x:f>
        <x:v>0.7290533954793401</x:v>
      </x:c>
      <x:c r="O40" s="30" t="n">
        <x:f>J40/(Inputs!$B$8-H40)</x:f>
        <x:v>0.7292224690812955</x:v>
      </x:c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 ht="15" hidden="0" customHeight="1">
      <x:c r="A41" s="18" t="n">
        <x:v>393.15</x:v>
      </x:c>
      <x:c r="B41" s="50" t="n">
        <x:v>0.19</x:v>
      </x:c>
      <x:c r="C41" s="18" t="n">
        <x:f>VLOOKUP(A41,Inputs!$A$13:$F$15,2,FALSE)</x:f>
        <x:v>43.83</x:v>
      </x:c>
      <x:c r="D41" s="18" t="n">
        <x:f>VLOOKUP(A41,Inputs!$A$13:$F$15,3,FALSE)</x:f>
        <x:v>14.29</x:v>
      </x:c>
      <x:c r="E41" s="18" t="n">
        <x:f>VLOOKUP(A41,Inputs!$A$13:$F$15,4,FALSE)</x:f>
        <x:v>1.41</x:v>
      </x:c>
      <x:c r="F41" s="18" t="n">
        <x:f>VLOOKUP(A41,Inputs!$A$13:$F$15,5,FALSE)</x:f>
        <x:v>1.67</x:v>
      </x:c>
      <x:c r="G41" s="18" t="n">
        <x:f>VLOOKUP(A41,Inputs!$A$13:$F$15,6,FALSE)</x:f>
        <x:v>0.79</x:v>
      </x:c>
      <x:c r="H41" s="30" t="n">
        <x:f>Inputs!$B$8*EXP(-(C41+E41)*B41)</x:f>
        <x:v>0.00036983528784097675</x:v>
      </x:c>
      <x:c r="I41" s="30" t="n">
        <x:f>C41*Inputs!$B$8/(D41+F41-C41-E41)*(EXP(-(C41+E41)*B41)-EXP(-(D41+F41)*B41))</x:f>
        <x:v>0.1437495323874925</x:v>
      </x:c>
      <x:c r="J41" s="30" t="n">
        <x:f>D41*C41*Inputs!$B$8/(D41+F41-C41-E41)*((EXP(-(C41+E41)*B41)-EXP(-G41*B41))/(G41-C41-E41)-(EXP(-(D41+F41)*B41)-EXP(-G41*B41))/(G41-D41-F41))</x:f>
        <x:v>1.463025894037665</x:v>
      </x:c>
      <x:c r="K41" s="30" t="n">
        <x:f>E41*Inputs!$B$8/(C41+E41)*(1-EXP(-(C41+E41)*B41))</x:f>
        <x:v>0.06232269080999435</x:v>
      </x:c>
      <x:c r="L41" s="30" t="n">
        <x:f>Inputs!$B$8-H41-I41-J41-K41</x:f>
        <x:v>0.3305320474770072</x:v>
      </x:c>
      <x:c r="M41" s="30" t="n">
        <x:f>(Inputs!$B$8-H41)/Inputs!$B$8</x:f>
        <x:v>0.9998150823560795</x:v>
      </x:c>
      <x:c r="N41" s="30" t="n">
        <x:f>J41/Inputs!$B$8</x:f>
        <x:v>0.7315129470188325</x:v>
      </x:c>
      <x:c r="O41" s="30" t="n">
        <x:f>J41/(Inputs!$B$8-H41)</x:f>
        <x:v>0.731648241687864</x:v>
      </x:c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 ht="15" hidden="0" customHeight="1">
      <x:c r="A42" s="18" t="n">
        <x:v>393.15</x:v>
      </x:c>
      <x:c r="B42" s="50" t="n">
        <x:v>0.195</x:v>
      </x:c>
      <x:c r="C42" s="18" t="n">
        <x:f>VLOOKUP(A42,Inputs!$A$13:$F$15,2,FALSE)</x:f>
        <x:v>43.83</x:v>
      </x:c>
      <x:c r="D42" s="18" t="n">
        <x:f>VLOOKUP(A42,Inputs!$A$13:$F$15,3,FALSE)</x:f>
        <x:v>14.29</x:v>
      </x:c>
      <x:c r="E42" s="18" t="n">
        <x:f>VLOOKUP(A42,Inputs!$A$13:$F$15,4,FALSE)</x:f>
        <x:v>1.41</x:v>
      </x:c>
      <x:c r="F42" s="18" t="n">
        <x:f>VLOOKUP(A42,Inputs!$A$13:$F$15,5,FALSE)</x:f>
        <x:v>1.67</x:v>
      </x:c>
      <x:c r="G42" s="18" t="n">
        <x:f>VLOOKUP(A42,Inputs!$A$13:$F$15,6,FALSE)</x:f>
        <x:v>0.79</x:v>
      </x:c>
      <x:c r="H42" s="30" t="n">
        <x:f>Inputs!$B$8*EXP(-(C42+E42)*B42)</x:f>
        <x:v>0.0002949653047848257</x:v>
      </x:c>
      <x:c r="I42" s="30" t="n">
        <x:f>C42*Inputs!$B$8/(D42+F42-C42-E42)*(EXP(-(C42+E42)*B42)-EXP(-(D42+F42)*B42))</x:f>
        <x:v>0.1327936983253966</x:v>
      </x:c>
      <x:c r="J42" s="30" t="n">
        <x:f>D42*C42*Inputs!$B$8/(D42+F42-C42-E42)*((EXP(-(C42+E42)*B42)-EXP(-G42*B42))/(G42-C42-E42)-(EXP(-(D42+F42)*B42)-EXP(-G42*B42))/(G42-D42-F42))</x:f>
        <x:v>1.4671130062113864</x:v>
      </x:c>
      <x:c r="K42" s="30" t="n">
        <x:f>E42*Inputs!$B$8/(C42+E42)*(1-EXP(-(C42+E42)*B42))</x:f>
        <x:v>0.062325024290898624</x:v>
      </x:c>
      <x:c r="L42" s="30" t="n">
        <x:f>Inputs!$B$8-H42-I42-J42-K42</x:f>
        <x:v>0.3374733058675336</x:v>
      </x:c>
      <x:c r="M42" s="30" t="n">
        <x:f>(Inputs!$B$8-H42)/Inputs!$B$8</x:f>
        <x:v>0.9998525173476076</x:v>
      </x:c>
      <x:c r="N42" s="30" t="n">
        <x:f>J42/Inputs!$B$8</x:f>
        <x:v>0.7335565031056932</x:v>
      </x:c>
      <x:c r="O42" s="30" t="n">
        <x:f>J42/(Inputs!$B$8-H42)</x:f>
        <x:v>0.7336647059224893</x:v>
      </x:c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 ht="15" hidden="0" customHeight="1">
      <x:c r="A43" s="18" t="n">
        <x:v>393.15</x:v>
      </x:c>
      <x:c r="B43" s="50" t="n">
        <x:v>0.2</x:v>
      </x:c>
      <x:c r="C43" s="18" t="n">
        <x:f>VLOOKUP(A43,Inputs!$A$13:$F$15,2,FALSE)</x:f>
        <x:v>43.83</x:v>
      </x:c>
      <x:c r="D43" s="18" t="n">
        <x:f>VLOOKUP(A43,Inputs!$A$13:$F$15,3,FALSE)</x:f>
        <x:v>14.29</x:v>
      </x:c>
      <x:c r="E43" s="18" t="n">
        <x:f>VLOOKUP(A43,Inputs!$A$13:$F$15,4,FALSE)</x:f>
        <x:v>1.41</x:v>
      </x:c>
      <x:c r="F43" s="18" t="n">
        <x:f>VLOOKUP(A43,Inputs!$A$13:$F$15,5,FALSE)</x:f>
        <x:v>1.67</x:v>
      </x:c>
      <x:c r="G43" s="18" t="n">
        <x:f>VLOOKUP(A43,Inputs!$A$13:$F$15,6,FALSE)</x:f>
        <x:v>0.79</x:v>
      </x:c>
      <x:c r="H43" s="30" t="n">
        <x:f>Inputs!$B$8*EXP(-(C43+E43)*B43)</x:f>
        <x:v>0.0002352521078632596</x:v>
      </x:c>
      <x:c r="I43" s="30" t="n">
        <x:f>C43*Inputs!$B$8/(D43+F43-C43-E43)*(EXP(-(C43+E43)*B43)-EXP(-(D43+F43)*B43))</x:f>
        <x:v>0.12266407334906568</x:v>
      </x:c>
      <x:c r="J43" s="30" t="n">
        <x:f>D43*C43*Inputs!$B$8/(D43+F43-C43-E43)*((EXP(-(C43+E43)*B43)-EXP(-G43*B43))/(G43-C43-E43)-(EXP(-(D43+F43)*B43)-EXP(-G43*B43))/(G43-D43-F43))</x:f>
        <x:v>1.4704326053067989</x:v>
      </x:c>
      <x:c r="K43" s="30" t="n">
        <x:f>E43*Inputs!$B$8/(C43+E43)*(1-EXP(-(C43+E43)*B43))</x:f>
        <x:v>0.062326885378601087</x:v>
      </x:c>
      <x:c r="L43" s="30" t="n">
        <x:f>Inputs!$B$8-H43-I43-J43-K43</x:f>
        <x:v>0.3443411838576712</x:v>
      </x:c>
      <x:c r="M43" s="30" t="n">
        <x:f>(Inputs!$B$8-H43)/Inputs!$B$8</x:f>
        <x:v>0.9998823739460684</x:v>
      </x:c>
      <x:c r="N43" s="30" t="n">
        <x:f>J43/Inputs!$B$8</x:f>
        <x:v>0.7352163026533994</x:v>
      </x:c>
      <x:c r="O43" s="30" t="n">
        <x:f>J43/(Inputs!$B$8-H43)</x:f>
        <x:v>0.7353027934194343</x:v>
      </x:c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 ht="15" hidden="0" customHeight="1">
      <x:c r="A44" s="18" t="n">
        <x:v>393.15</x:v>
      </x:c>
      <x:c r="B44" s="50" t="n">
        <x:v>0.20500000000000002</x:v>
      </x:c>
      <x:c r="C44" s="18" t="n">
        <x:f>VLOOKUP(A44,Inputs!$A$13:$F$15,2,FALSE)</x:f>
        <x:v>43.83</x:v>
      </x:c>
      <x:c r="D44" s="18" t="n">
        <x:f>VLOOKUP(A44,Inputs!$A$13:$F$15,3,FALSE)</x:f>
        <x:v>14.29</x:v>
      </x:c>
      <x:c r="E44" s="18" t="n">
        <x:f>VLOOKUP(A44,Inputs!$A$13:$F$15,4,FALSE)</x:f>
        <x:v>1.41</x:v>
      </x:c>
      <x:c r="F44" s="18" t="n">
        <x:f>VLOOKUP(A44,Inputs!$A$13:$F$15,5,FALSE)</x:f>
        <x:v>1.67</x:v>
      </x:c>
      <x:c r="G44" s="18" t="n">
        <x:f>VLOOKUP(A44,Inputs!$A$13:$F$15,6,FALSE)</x:f>
        <x:v>0.79</x:v>
      </x:c>
      <x:c r="H44" s="30" t="n">
        <x:f>Inputs!$B$8*EXP(-(C44+E44)*B44)</x:f>
        <x:v>0.0001876273356775954</x:v>
      </x:c>
      <x:c r="I44" s="30" t="n">
        <x:f>C44*Inputs!$B$8/(D44+F44-C44-E44)*(EXP(-(C44+E44)*B44)-EXP(-(D44+F44)*B44))</x:f>
        <x:v>0.11330014095618499</x:v>
      </x:c>
      <x:c r="J44" s="30" t="n">
        <x:f>D44*C44*Inputs!$B$8/(D44+F44-C44-E44)*((EXP(-(C44+E44)*B44)-EXP(-G44*B44))/(G44-C44-E44)-(EXP(-(D44+F44)*B44)-EXP(-G44*B44))/(G44-D44-F44))</x:f>
        <x:v>1.4730444494123835</x:v>
      </x:c>
      <x:c r="K44" s="30" t="n">
        <x:f>E44*Inputs!$B$8/(C44+E44)*(1-EXP(-(C44+E44)*B44))</x:f>
        <x:v>0.06232836970505515</x:v>
      </x:c>
      <x:c r="L44" s="30" t="n">
        <x:f>Inputs!$B$8-H44-I44-J44-K44</x:f>
        <x:v>0.3511394125906988</x:v>
      </x:c>
      <x:c r="M44" s="30" t="n">
        <x:f>(Inputs!$B$8-H44)/Inputs!$B$8</x:f>
        <x:v>0.9999061863321612</x:v>
      </x:c>
      <x:c r="N44" s="30" t="n">
        <x:f>J44/Inputs!$B$8</x:f>
        <x:v>0.7365222247061918</x:v>
      </x:c>
      <x:c r="O44" s="30" t="n">
        <x:f>J44/(Inputs!$B$8-H44)</x:f>
        <x:v>0.7365913270402796</x:v>
      </x:c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 ht="15" hidden="0" customHeight="1">
      <x:c r="A45" s="18" t="n">
        <x:v>393.15</x:v>
      </x:c>
      <x:c r="B45" s="50" t="n">
        <x:v>0.21</x:v>
      </x:c>
      <x:c r="C45" s="18" t="n">
        <x:f>VLOOKUP(A45,Inputs!$A$13:$F$15,2,FALSE)</x:f>
        <x:v>43.83</x:v>
      </x:c>
      <x:c r="D45" s="18" t="n">
        <x:f>VLOOKUP(A45,Inputs!$A$13:$F$15,3,FALSE)</x:f>
        <x:v>14.29</x:v>
      </x:c>
      <x:c r="E45" s="18" t="n">
        <x:f>VLOOKUP(A45,Inputs!$A$13:$F$15,4,FALSE)</x:f>
        <x:v>1.41</x:v>
      </x:c>
      <x:c r="F45" s="18" t="n">
        <x:f>VLOOKUP(A45,Inputs!$A$13:$F$15,5,FALSE)</x:f>
        <x:v>1.67</x:v>
      </x:c>
      <x:c r="G45" s="18" t="n">
        <x:f>VLOOKUP(A45,Inputs!$A$13:$F$15,6,FALSE)</x:f>
        <x:v>0.79</x:v>
      </x:c>
      <x:c r="H45" s="30" t="n">
        <x:f>Inputs!$B$8*EXP(-(C45+E45)*B45)</x:f>
        <x:v>0.00014964379028618727</x:v>
      </x:c>
      <x:c r="I45" s="30" t="n">
        <x:f>C45*Inputs!$B$8/(D45+F45-C45-E45)*(EXP(-(C45+E45)*B45)-EXP(-(D45+F45)*B45))</x:f>
        <x:v>0.10464544865154721</x:v>
      </x:c>
      <x:c r="J45" s="30" t="n">
        <x:f>D45*C45*Inputs!$B$8/(D45+F45-C45-E45)*((EXP(-(C45+E45)*B45)-EXP(-G45*B45))/(G45-C45-E45)-(EXP(-(D45+F45)*B45)-EXP(-G45*B45))/(G45-D45-F45))</x:f>
        <x:v>1.4750038917768789</x:v>
      </x:c>
      <x:c r="K45" s="30" t="n">
        <x:f>E45*Inputs!$B$8/(C45+E45)*(1-EXP(-(C45+E45)*B45))</x:f>
        <x:v>0.0623295535423452</x:v>
      </x:c>
      <x:c r="L45" s="30" t="n">
        <x:f>Inputs!$B$8-H45-I45-J45-K45</x:f>
        <x:v>0.3578714622389427</x:v>
      </x:c>
      <x:c r="M45" s="30" t="n">
        <x:f>(Inputs!$B$8-H45)/Inputs!$B$8</x:f>
        <x:v>0.9999251781048569</x:v>
      </x:c>
      <x:c r="N45" s="30" t="n">
        <x:f>J45/Inputs!$B$8</x:f>
        <x:v>0.7375019458884394</x:v>
      </x:c>
      <x:c r="O45" s="30" t="n">
        <x:f>J45/(Inputs!$B$8-H45)</x:f>
        <x:v>0.7375571313107804</x:v>
      </x:c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 ht="15" hidden="0" customHeight="1">
      <x:c r="A46" s="18" t="n">
        <x:v>393.15</x:v>
      </x:c>
      <x:c r="B46" s="50" t="n">
        <x:v>0.215</x:v>
      </x:c>
      <x:c r="C46" s="18" t="n">
        <x:f>VLOOKUP(A46,Inputs!$A$13:$F$15,2,FALSE)</x:f>
        <x:v>43.83</x:v>
      </x:c>
      <x:c r="D46" s="18" t="n">
        <x:f>VLOOKUP(A46,Inputs!$A$13:$F$15,3,FALSE)</x:f>
        <x:v>14.29</x:v>
      </x:c>
      <x:c r="E46" s="18" t="n">
        <x:f>VLOOKUP(A46,Inputs!$A$13:$F$15,4,FALSE)</x:f>
        <x:v>1.41</x:v>
      </x:c>
      <x:c r="F46" s="18" t="n">
        <x:f>VLOOKUP(A46,Inputs!$A$13:$F$15,5,FALSE)</x:f>
        <x:v>1.67</x:v>
      </x:c>
      <x:c r="G46" s="18" t="n">
        <x:f>VLOOKUP(A46,Inputs!$A$13:$F$15,6,FALSE)</x:f>
        <x:v>0.79</x:v>
      </x:c>
      <x:c r="H46" s="30" t="n">
        <x:f>Inputs!$B$8*EXP(-(C46+E46)*B46)</x:f>
        <x:v>0.00011934968798840294</x:v>
      </x:c>
      <x:c r="I46" s="30" t="n">
        <x:f>C46*Inputs!$B$8/(D46+F46-C46-E46)*(EXP(-(C46+E46)*B46)-EXP(-(D46+F46)*B46))</x:f>
        <x:v>0.09664741316152997</x:v>
      </x:c>
      <x:c r="J46" s="30" t="n">
        <x:f>D46*C46*Inputs!$B$8/(D46+F46-C46-E46)*((EXP(-(C46+E46)*B46)-EXP(-G46*B46))/(G46-C46-E46)-(EXP(-(D46+F46)*B46)-EXP(-G46*B46))/(G46-D46-F46))</x:f>
        <x:v>1.476362181096285</x:v>
      </x:c>
      <x:c r="K46" s="30" t="n">
        <x:f>E46*Inputs!$B$8/(C46+E46)*(1-EXP(-(C46+E46)*B46))</x:f>
        <x:v>0.062330497721926094</x:v>
      </x:c>
      <x:c r="L46" s="30" t="n">
        <x:f>Inputs!$B$8-H46-I46-J46-K46</x:f>
        <x:v>0.3645405583322705</x:v>
      </x:c>
      <x:c r="M46" s="30" t="n">
        <x:f>(Inputs!$B$8-H46)/Inputs!$B$8</x:f>
        <x:v>0.9999403251560058</x:v>
      </x:c>
      <x:c r="N46" s="30" t="n">
        <x:f>J46/Inputs!$B$8</x:f>
        <x:v>0.7381810905481425</x:v>
      </x:c>
      <x:c r="O46" s="30" t="n">
        <x:f>J46/(Inputs!$B$8-H46)</x:f>
        <x:v>0.7382251440184444</x:v>
      </x:c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 ht="15" hidden="0" customHeight="1">
      <x:c r="A47" s="18" t="n">
        <x:v>393.15</x:v>
      </x:c>
      <x:c r="B47" s="50" t="n">
        <x:v>0.22</x:v>
      </x:c>
      <x:c r="C47" s="18" t="n">
        <x:f>VLOOKUP(A47,Inputs!$A$13:$F$15,2,FALSE)</x:f>
        <x:v>43.83</x:v>
      </x:c>
      <x:c r="D47" s="18" t="n">
        <x:f>VLOOKUP(A47,Inputs!$A$13:$F$15,3,FALSE)</x:f>
        <x:v>14.29</x:v>
      </x:c>
      <x:c r="E47" s="18" t="n">
        <x:f>VLOOKUP(A47,Inputs!$A$13:$F$15,4,FALSE)</x:f>
        <x:v>1.41</x:v>
      </x:c>
      <x:c r="F47" s="18" t="n">
        <x:f>VLOOKUP(A47,Inputs!$A$13:$F$15,5,FALSE)</x:f>
        <x:v>1.67</x:v>
      </x:c>
      <x:c r="G47" s="18" t="n">
        <x:f>VLOOKUP(A47,Inputs!$A$13:$F$15,6,FALSE)</x:f>
        <x:v>0.79</x:v>
      </x:c>
      <x:c r="H47" s="30" t="n">
        <x:f>Inputs!$B$8*EXP(-(C47+E47)*B47)</x:f>
        <x:v>0.00009518836695921335</x:v>
      </x:c>
      <x:c r="I47" s="30" t="n">
        <x:f>C47*Inputs!$B$8/(D47+F47-C47-E47)*(EXP(-(C47+E47)*B47)-EXP(-(D47+F47)*B47))</x:f>
        <x:v>0.08925711691901882</x:v>
      </x:c>
      <x:c r="J47" s="30" t="n">
        <x:f>D47*C47*Inputs!$B$8/(D47+F47-C47-E47)*((EXP(-(C47+E47)*B47)-EXP(-G47*B47))/(G47-C47-E47)-(EXP(-(D47+F47)*B47)-EXP(-G47*B47))/(G47-D47-F47))</x:f>
        <x:v>1.4771667463784028</x:v>
      </x:c>
      <x:c r="K47" s="30" t="n">
        <x:f>E47*Inputs!$B$8/(C47+E47)*(1-EXP(-(C47+E47)*B47))</x:f>
        <x:v>0.06233125076044623</x:v>
      </x:c>
      <x:c r="L47" s="30" t="n">
        <x:f>Inputs!$B$8-H47-I47-J47-K47</x:f>
        <x:v>0.3711496975751728</x:v>
      </x:c>
      <x:c r="M47" s="30" t="n">
        <x:f>(Inputs!$B$8-H47)/Inputs!$B$8</x:f>
        <x:v>0.9999524058165203</x:v>
      </x:c>
      <x:c r="N47" s="30" t="n">
        <x:f>J47/Inputs!$B$8</x:f>
        <x:v>0.7385833731892014</x:v>
      </x:c>
      <x:c r="O47" s="30" t="n">
        <x:f>J47/(Inputs!$B$8-H47)</x:f>
        <x:v>0.7386185271349034</x:v>
      </x:c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 ht="15" hidden="0" customHeight="1">
      <x:c r="A48" s="18" t="n">
        <x:v>393.15</x:v>
      </x:c>
      <x:c r="B48" s="50" t="n">
        <x:v>0.225</x:v>
      </x:c>
      <x:c r="C48" s="18" t="n">
        <x:f>VLOOKUP(A48,Inputs!$A$13:$F$15,2,FALSE)</x:f>
        <x:v>43.83</x:v>
      </x:c>
      <x:c r="D48" s="18" t="n">
        <x:f>VLOOKUP(A48,Inputs!$A$13:$F$15,3,FALSE)</x:f>
        <x:v>14.29</x:v>
      </x:c>
      <x:c r="E48" s="18" t="n">
        <x:f>VLOOKUP(A48,Inputs!$A$13:$F$15,4,FALSE)</x:f>
        <x:v>1.41</x:v>
      </x:c>
      <x:c r="F48" s="18" t="n">
        <x:f>VLOOKUP(A48,Inputs!$A$13:$F$15,5,FALSE)</x:f>
        <x:v>1.67</x:v>
      </x:c>
      <x:c r="G48" s="18" t="n">
        <x:f>VLOOKUP(A48,Inputs!$A$13:$F$15,6,FALSE)</x:f>
        <x:v>0.79</x:v>
      </x:c>
      <x:c r="H48" s="30" t="n">
        <x:f>Inputs!$B$8*EXP(-(C48+E48)*B48)</x:f>
        <x:v>0.00007591829821324938</x:v>
      </x:c>
      <x:c r="I48" s="30" t="n">
        <x:f>C48*Inputs!$B$8/(D48+F48-C48-E48)*(EXP(-(C48+E48)*B48)-EXP(-(D48+F48)*B48))</x:f>
        <x:v>0.08242910127999167</x:v>
      </x:c>
      <x:c r="J48" s="30" t="n">
        <x:f>D48*C48*Inputs!$B$8/(D48+F48-C48-E48)*((EXP(-(C48+E48)*B48)-EXP(-G48*B48))/(G48-C48-E48)-(EXP(-(D48+F48)*B48)-EXP(-G48*B48))/(G48-D48-F48))</x:f>
        <x:v>1.4774614660273404</x:v>
      </x:c>
      <x:c r="K48" s="30" t="n">
        <x:f>E48*Inputs!$B$8/(C48+E48)*(1-EXP(-(C48+E48)*B48))</x:f>
        <x:v>0.062331851352774525</x:v>
      </x:c>
      <x:c r="L48" s="30" t="n">
        <x:f>Inputs!$B$8-H48-I48-J48-K48</x:f>
        <x:v>0.3777016630416802</x:v>
      </x:c>
      <x:c r="M48" s="30" t="n">
        <x:f>(Inputs!$B$8-H48)/Inputs!$B$8</x:f>
        <x:v>0.9999620408508934</x:v>
      </x:c>
      <x:c r="N48" s="30" t="n">
        <x:f>J48/Inputs!$B$8</x:f>
        <x:v>0.7387307330136702</x:v>
      </x:c>
      <x:c r="O48" s="30" t="n">
        <x:f>J48/(Inputs!$B$8-H48)</x:f>
        <x:v>0.7387587756681896</x:v>
      </x:c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 ht="15" hidden="0" customHeight="1">
      <x:c r="A49" s="18" t="n">
        <x:v>393.15</x:v>
      </x:c>
      <x:c r="B49" s="50" t="n">
        <x:v>0.23</x:v>
      </x:c>
      <x:c r="C49" s="18" t="n">
        <x:f>VLOOKUP(A49,Inputs!$A$13:$F$15,2,FALSE)</x:f>
        <x:v>43.83</x:v>
      </x:c>
      <x:c r="D49" s="18" t="n">
        <x:f>VLOOKUP(A49,Inputs!$A$13:$F$15,3,FALSE)</x:f>
        <x:v>14.29</x:v>
      </x:c>
      <x:c r="E49" s="18" t="n">
        <x:f>VLOOKUP(A49,Inputs!$A$13:$F$15,4,FALSE)</x:f>
        <x:v>1.41</x:v>
      </x:c>
      <x:c r="F49" s="18" t="n">
        <x:f>VLOOKUP(A49,Inputs!$A$13:$F$15,5,FALSE)</x:f>
        <x:v>1.67</x:v>
      </x:c>
      <x:c r="G49" s="18" t="n">
        <x:f>VLOOKUP(A49,Inputs!$A$13:$F$15,6,FALSE)</x:f>
        <x:v>0.79</x:v>
      </x:c>
      <x:c r="H49" s="30" t="n">
        <x:f>Inputs!$B$8*EXP(-(C49+E49)*B49)</x:f>
        <x:v>0.000060549289663362624</x:v>
      </x:c>
      <x:c r="I49" s="30" t="n">
        <x:f>C49*Inputs!$B$8/(D49+F49-C49-E49)*(EXP(-(C49+E49)*B49)-EXP(-(D49+F49)*B49))</x:f>
        <x:v>0.0761211605440817</x:v>
      </x:c>
      <x:c r="J49" s="30" t="n">
        <x:f>D49*C49*Inputs!$B$8/(D49+F49-C49-E49)*((EXP(-(C49+E49)*B49)-EXP(-G49*B49))/(G49-C49-E49)-(EXP(-(D49+F49)*B49)-EXP(-G49*B49))/(G49-D49-F49))</x:f>
        <x:v>1.4772869211297002</x:v>
      </x:c>
      <x:c r="K49" s="30" t="n">
        <x:f>E49*Inputs!$B$8/(C49+E49)*(1-EXP(-(C49+E49)*B49))</x:f>
        <x:v>0.06233233036033543</x:v>
      </x:c>
      <x:c r="L49" s="30" t="n">
        <x:f>Inputs!$B$8-H49-I49-J49-K49</x:f>
        <x:v>0.38419903867621946</x:v>
      </x:c>
      <x:c r="M49" s="30" t="n">
        <x:f>(Inputs!$B$8-H49)/Inputs!$B$8</x:f>
        <x:v>0.9999697253551684</x:v>
      </x:c>
      <x:c r="N49" s="30" t="n">
        <x:f>J49/Inputs!$B$8</x:f>
        <x:v>0.7386434605648501</x:v>
      </x:c>
      <x:c r="O49" s="30" t="n">
        <x:f>J49/(Inputs!$B$8-H49)</x:f>
        <x:v>0.7386658234103031</x:v>
      </x:c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 ht="15" hidden="0" customHeight="1">
      <x:c r="A50" s="18" t="n">
        <x:v>393.15</x:v>
      </x:c>
      <x:c r="B50" s="50" t="n">
        <x:v>0.23500000000000001</x:v>
      </x:c>
      <x:c r="C50" s="18" t="n">
        <x:f>VLOOKUP(A50,Inputs!$A$13:$F$15,2,FALSE)</x:f>
        <x:v>43.83</x:v>
      </x:c>
      <x:c r="D50" s="18" t="n">
        <x:f>VLOOKUP(A50,Inputs!$A$13:$F$15,3,FALSE)</x:f>
        <x:v>14.29</x:v>
      </x:c>
      <x:c r="E50" s="18" t="n">
        <x:f>VLOOKUP(A50,Inputs!$A$13:$F$15,4,FALSE)</x:f>
        <x:v>1.41</x:v>
      </x:c>
      <x:c r="F50" s="18" t="n">
        <x:f>VLOOKUP(A50,Inputs!$A$13:$F$15,5,FALSE)</x:f>
        <x:v>1.67</x:v>
      </x:c>
      <x:c r="G50" s="18" t="n">
        <x:f>VLOOKUP(A50,Inputs!$A$13:$F$15,6,FALSE)</x:f>
        <x:v>0.79</x:v>
      </x:c>
      <x:c r="H50" s="30" t="n">
        <x:f>Inputs!$B$8*EXP(-(C50+E50)*B50)</x:f>
        <x:v>0.00004829160512054205</x:v>
      </x:c>
      <x:c r="I50" s="30" t="n">
        <x:f>C50*Inputs!$B$8/(D50+F50-C50-E50)*(EXP(-(C50+E50)*B50)-EXP(-(D50+F50)*B50))</x:f>
        <x:v>0.07029413976543326</x:v>
      </x:c>
      <x:c r="J50" s="30" t="n">
        <x:f>D50*C50*Inputs!$B$8/(D50+F50-C50-E50)*((EXP(-(C50+E50)*B50)-EXP(-G50*B50))/(G50-C50-E50)-(EXP(-(D50+F50)*B50)-EXP(-G50*B50))/(G50-D50-F50))</x:f>
        <x:v>1.4766806331742908</x:v>
      </x:c>
      <x:c r="K50" s="30" t="n">
        <x:f>E50*Inputs!$B$8/(C50+E50)*(1-EXP(-(C50+E50)*B50))</x:f>
        <x:v>0.06233271239692264</x:v>
      </x:c>
      <x:c r="L50" s="30" t="n">
        <x:f>Inputs!$B$8-H50-I50-J50-K50</x:f>
        <x:v>0.39064422305823276</x:v>
      </x:c>
      <x:c r="M50" s="30" t="n">
        <x:f>(Inputs!$B$8-H50)/Inputs!$B$8</x:f>
        <x:v>0.9999758541974397</x:v>
      </x:c>
      <x:c r="N50" s="30" t="n">
        <x:f>J50/Inputs!$B$8</x:f>
        <x:v>0.7383403165871454</x:v>
      </x:c>
      <x:c r="O50" s="30" t="n">
        <x:f>J50/(Inputs!$B$8-H50)</x:f>
        <x:v>0.7383581448371294</x:v>
      </x:c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 ht="15" hidden="0" customHeight="1">
      <x:c r="A51" s="18" t="n">
        <x:v>393.15</x:v>
      </x:c>
      <x:c r="B51" s="50" t="n">
        <x:v>0.24</x:v>
      </x:c>
      <x:c r="C51" s="18" t="n">
        <x:f>VLOOKUP(A51,Inputs!$A$13:$F$15,2,FALSE)</x:f>
        <x:v>43.83</x:v>
      </x:c>
      <x:c r="D51" s="18" t="n">
        <x:f>VLOOKUP(A51,Inputs!$A$13:$F$15,3,FALSE)</x:f>
        <x:v>14.29</x:v>
      </x:c>
      <x:c r="E51" s="18" t="n">
        <x:f>VLOOKUP(A51,Inputs!$A$13:$F$15,4,FALSE)</x:f>
        <x:v>1.41</x:v>
      </x:c>
      <x:c r="F51" s="18" t="n">
        <x:f>VLOOKUP(A51,Inputs!$A$13:$F$15,5,FALSE)</x:f>
        <x:v>1.67</x:v>
      </x:c>
      <x:c r="G51" s="18" t="n">
        <x:f>VLOOKUP(A51,Inputs!$A$13:$F$15,6,FALSE)</x:f>
        <x:v>0.79</x:v>
      </x:c>
      <x:c r="H51" s="30" t="n">
        <x:f>Inputs!$B$8*EXP(-(C51+E51)*B51)</x:f>
        <x:v>0.00003851538371604497</x:v>
      </x:c>
      <x:c r="I51" s="30" t="n">
        <x:f>C51*Inputs!$B$8/(D51+F51-C51-E51)*(EXP(-(C51+E51)*B51)-EXP(-(D51+F51)*B51))</x:f>
        <x:v>0.06491173849408137</x:v>
      </x:c>
      <x:c r="J51" s="30" t="n">
        <x:f>D51*C51*Inputs!$B$8/(D51+F51-C51-E51)*((EXP(-(C51+E51)*B51)-EXP(-G51*B51))/(G51-C51-E51)-(EXP(-(D51+F51)*B51)-EXP(-G51*B51))/(G51-D51-F51))</x:f>
        <x:v>1.4756772866177803</x:v>
      </x:c>
      <x:c r="K51" s="30" t="n">
        <x:f>E51*Inputs!$B$8/(C51+E51)*(1-EXP(-(C51+E51)*B51))</x:f>
        <x:v>0.06233301709347835</x:v>
      </x:c>
      <x:c r="L51" s="30" t="n">
        <x:f>Inputs!$B$8-H51-I51-J51-K51</x:f>
        <x:v>0.39703944241094385</x:v>
      </x:c>
      <x:c r="M51" s="30" t="n">
        <x:f>(Inputs!$B$8-H51)/Inputs!$B$8</x:f>
        <x:v>0.9999807423081419</x:v>
      </x:c>
      <x:c r="N51" s="30" t="n">
        <x:f>J51/Inputs!$B$8</x:f>
        <x:v>0.7378386433088902</x:v>
      </x:c>
      <x:c r="O51" s="30" t="n">
        <x:f>J51/(Inputs!$B$8-H51)</x:f>
        <x:v>0.7378528526517631</x:v>
      </x:c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 ht="15" hidden="0" customHeight="1">
      <x:c r="A52" s="18" t="n">
        <x:v>393.15</x:v>
      </x:c>
      <x:c r="B52" s="50" t="n">
        <x:v>0.245</x:v>
      </x:c>
      <x:c r="C52" s="18" t="n">
        <x:f>VLOOKUP(A52,Inputs!$A$13:$F$15,2,FALSE)</x:f>
        <x:v>43.83</x:v>
      </x:c>
      <x:c r="D52" s="18" t="n">
        <x:f>VLOOKUP(A52,Inputs!$A$13:$F$15,3,FALSE)</x:f>
        <x:v>14.29</x:v>
      </x:c>
      <x:c r="E52" s="18" t="n">
        <x:f>VLOOKUP(A52,Inputs!$A$13:$F$15,4,FALSE)</x:f>
        <x:v>1.41</x:v>
      </x:c>
      <x:c r="F52" s="18" t="n">
        <x:f>VLOOKUP(A52,Inputs!$A$13:$F$15,5,FALSE)</x:f>
        <x:v>1.67</x:v>
      </x:c>
      <x:c r="G52" s="18" t="n">
        <x:f>VLOOKUP(A52,Inputs!$A$13:$F$15,6,FALSE)</x:f>
        <x:v>0.79</x:v>
      </x:c>
      <x:c r="H52" s="30" t="n">
        <x:f>Inputs!$B$8*EXP(-(C52+E52)*B52)</x:f>
        <x:v>0.00003071827451357924</x:v>
      </x:c>
      <x:c r="I52" s="30" t="n">
        <x:f>C52*Inputs!$B$8/(D52+F52-C52-E52)*(EXP(-(C52+E52)*B52)-EXP(-(D52+F52)*B52))</x:f>
        <x:v>0.05994032193180814</x:v>
      </x:c>
      <x:c r="J52" s="30" t="n">
        <x:f>D52*C52*Inputs!$B$8/(D52+F52-C52-E52)*((EXP(-(C52+E52)*B52)-EXP(-G52*B52))/(G52-C52-E52)-(EXP(-(D52+F52)*B52)-EXP(-G52*B52))/(G52-D52-F52))</x:f>
        <x:v>1.4743089368352922</x:v>
      </x:c>
      <x:c r="K52" s="30" t="n">
        <x:f>E52*Inputs!$B$8/(C52+E52)*(1-EXP(-(C52+E52)*B52))</x:f>
        <x:v>0.062333260106828825</x:v>
      </x:c>
      <x:c r="L52" s="30" t="n">
        <x:f>Inputs!$B$8-H52-I52-J52-K52</x:f>
        <x:v>0.40338676285155717</x:v>
      </x:c>
      <x:c r="M52" s="30" t="n">
        <x:f>(Inputs!$B$8-H52)/Inputs!$B$8</x:f>
        <x:v>0.9999846408627432</x:v>
      </x:c>
      <x:c r="N52" s="30" t="n">
        <x:f>J52/Inputs!$B$8</x:f>
        <x:v>0.7371544684176461</x:v>
      </x:c>
      <x:c r="O52" s="30" t="n">
        <x:f>J52/(Inputs!$B$8-H52)</x:f>
        <x:v>0.7371657906482056</x:v>
      </x:c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 ht="15" hidden="0" customHeight="1">
      <x:c r="A53" s="18" t="n">
        <x:v>393.15</x:v>
      </x:c>
      <x:c r="B53" s="50" t="n">
        <x:v>0.25</x:v>
      </x:c>
      <x:c r="C53" s="18" t="n">
        <x:f>VLOOKUP(A53,Inputs!$A$13:$F$15,2,FALSE)</x:f>
        <x:v>43.83</x:v>
      </x:c>
      <x:c r="D53" s="18" t="n">
        <x:f>VLOOKUP(A53,Inputs!$A$13:$F$15,3,FALSE)</x:f>
        <x:v>14.29</x:v>
      </x:c>
      <x:c r="E53" s="18" t="n">
        <x:f>VLOOKUP(A53,Inputs!$A$13:$F$15,4,FALSE)</x:f>
        <x:v>1.41</x:v>
      </x:c>
      <x:c r="F53" s="18" t="n">
        <x:f>VLOOKUP(A53,Inputs!$A$13:$F$15,5,FALSE)</x:f>
        <x:v>1.67</x:v>
      </x:c>
      <x:c r="G53" s="18" t="n">
        <x:f>VLOOKUP(A53,Inputs!$A$13:$F$15,6,FALSE)</x:f>
        <x:v>0.79</x:v>
      </x:c>
      <x:c r="H53" s="30" t="n">
        <x:f>Inputs!$B$8*EXP(-(C53+E53)*B53)</x:f>
        <x:v>0.000024499623216749004</x:v>
      </x:c>
      <x:c r="I53" s="30" t="n">
        <x:f>C53*Inputs!$B$8/(D53+F53-C53-E53)*(EXP(-(C53+E53)*B53)-EXP(-(D53+F53)*B53))</x:f>
        <x:v>0.05534874048011494</x:v>
      </x:c>
      <x:c r="J53" s="30" t="n">
        <x:f>D53*C53*Inputs!$B$8/(D53+F53-C53-E53)*((EXP(-(C53+E53)*B53)-EXP(-G53*B53))/(G53-C53-E53)-(EXP(-(D53+F53)*B53)-EXP(-G53*B53))/(G53-D53-F53))</x:f>
        <x:v>1.4726052040797901</x:v>
      </x:c>
      <x:c r="K53" s="30" t="n">
        <x:f>E53*Inputs!$B$8/(C53+E53)*(1-EXP(-(C53+E53)*B53))</x:f>
        <x:v>0.06233345392421009</x:v>
      </x:c>
      <x:c r="L53" s="30" t="n">
        <x:f>Inputs!$B$8-H53-I53-J53-K53</x:f>
        <x:v>0.409688101892668</x:v>
      </x:c>
      <x:c r="M53" s="30" t="n">
        <x:f>(Inputs!$B$8-H53)/Inputs!$B$8</x:f>
        <x:v>0.9999877501883916</x:v>
      </x:c>
      <x:c r="N53" s="30" t="n">
        <x:f>J53/Inputs!$B$8</x:f>
        <x:v>0.7363026020398951</x:v>
      </x:c>
      <x:c r="O53" s="30" t="n">
        <x:f>J53/(Inputs!$B$8-H53)</x:f>
        <x:v>0.7363116217185462</x:v>
      </x:c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 ht="15" hidden="0" customHeight="1">
      <x:c r="A54" s="18" t="n">
        <x:v>393.15</x:v>
      </x:c>
      <x:c r="B54" s="50" t="n">
        <x:v>0.255</x:v>
      </x:c>
      <x:c r="C54" s="18" t="n">
        <x:f>VLOOKUP(A54,Inputs!$A$13:$F$15,2,FALSE)</x:f>
        <x:v>43.83</x:v>
      </x:c>
      <x:c r="D54" s="18" t="n">
        <x:f>VLOOKUP(A54,Inputs!$A$13:$F$15,3,FALSE)</x:f>
        <x:v>14.29</x:v>
      </x:c>
      <x:c r="E54" s="18" t="n">
        <x:f>VLOOKUP(A54,Inputs!$A$13:$F$15,4,FALSE)</x:f>
        <x:v>1.41</x:v>
      </x:c>
      <x:c r="F54" s="18" t="n">
        <x:f>VLOOKUP(A54,Inputs!$A$13:$F$15,5,FALSE)</x:f>
        <x:v>1.67</x:v>
      </x:c>
      <x:c r="G54" s="18" t="n">
        <x:f>VLOOKUP(A54,Inputs!$A$13:$F$15,6,FALSE)</x:f>
        <x:v>0.79</x:v>
      </x:c>
      <x:c r="H54" s="30" t="n">
        <x:f>Inputs!$B$8*EXP(-(C54+E54)*B54)</x:f>
        <x:v>0.00001953988455625429</x:v>
      </x:c>
      <x:c r="I54" s="30" t="n">
        <x:f>C54*Inputs!$B$8/(D54+F54-C54-E54)*(EXP(-(C54+E54)*B54)-EXP(-(D54+F54)*B54))</x:f>
        <x:v>0.051108158269925</x:v>
      </x:c>
      <x:c r="J54" s="30" t="n">
        <x:f>D54*C54*Inputs!$B$8/(D54+F54-C54-E54)*((EXP(-(C54+E54)*B54)-EXP(-G54*B54))/(G54-C54-E54)-(EXP(-(D54+F54)*B54)-EXP(-G54*B54))/(G54-D54-F54))</x:f>
        <x:v>1.4705934541268781</x:v>
      </x:c>
      <x:c r="K54" s="30" t="n">
        <x:f>E54*Inputs!$B$8/(C54+E54)*(1-EXP(-(C54+E54)*B54))</x:f>
        <x:v>0.062333608504924316</x:v>
      </x:c>
      <x:c r="L54" s="30" t="n">
        <x:f>Inputs!$B$8-H54-I54-J54-K54</x:f>
        <x:v>0.4159452392137163</x:v>
      </x:c>
      <x:c r="M54" s="30" t="n">
        <x:f>(Inputs!$B$8-H54)/Inputs!$B$8</x:f>
        <x:v>0.9999902300577219</x:v>
      </x:c>
      <x:c r="N54" s="30" t="n">
        <x:f>J54/Inputs!$B$8</x:f>
        <x:v>0.7352967270634391</x:v>
      </x:c>
      <x:c r="O54" s="30" t="n">
        <x:f>J54/(Inputs!$B$8-H54)</x:f>
        <x:v>0.7353039109402058</x:v>
      </x:c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 ht="15" hidden="0" customHeight="1">
      <x:c r="A55" s="18" t="n">
        <x:v>393.15</x:v>
      </x:c>
      <x:c r="B55" s="50" t="n">
        <x:v>0.26</x:v>
      </x:c>
      <x:c r="C55" s="18" t="n">
        <x:f>VLOOKUP(A55,Inputs!$A$13:$F$15,2,FALSE)</x:f>
        <x:v>43.83</x:v>
      </x:c>
      <x:c r="D55" s="18" t="n">
        <x:f>VLOOKUP(A55,Inputs!$A$13:$F$15,3,FALSE)</x:f>
        <x:v>14.29</x:v>
      </x:c>
      <x:c r="E55" s="18" t="n">
        <x:f>VLOOKUP(A55,Inputs!$A$13:$F$15,4,FALSE)</x:f>
        <x:v>1.41</x:v>
      </x:c>
      <x:c r="F55" s="18" t="n">
        <x:f>VLOOKUP(A55,Inputs!$A$13:$F$15,5,FALSE)</x:f>
        <x:v>1.67</x:v>
      </x:c>
      <x:c r="G55" s="18" t="n">
        <x:f>VLOOKUP(A55,Inputs!$A$13:$F$15,6,FALSE)</x:f>
        <x:v>0.79</x:v>
      </x:c>
      <x:c r="H55" s="30" t="n">
        <x:f>Inputs!$B$8*EXP(-(C55+E55)*B55)</x:f>
        <x:v>0.000015584202462784207</x:v>
      </x:c>
      <x:c r="I55" s="30" t="n">
        <x:f>C55*Inputs!$B$8/(D55+F55-C55-E55)*(EXP(-(C55+E55)*B55)-EXP(-(D55+F55)*B55))</x:f>
        <x:v>0.047191890967741415</x:v>
      </x:c>
      <x:c r="J55" s="30" t="n">
        <x:f>D55*C55*Inputs!$B$8/(D55+F55-C55-E55)*((EXP(-(C55+E55)*B55)-EXP(-G55*B55))/(G55-C55-E55)-(EXP(-(D55+F55)*B55)-EXP(-G55*B55))/(G55-D55-F55))</x:f>
        <x:v>1.4682989663100177</x:v>
      </x:c>
      <x:c r="K55" s="30" t="n">
        <x:f>E55*Inputs!$B$8/(C55+E55)*(1-EXP(-(C55+E55)*B55))</x:f>
        <x:v>0.062333731792098314</x:v>
      </x:c>
      <x:c r="L55" s="30" t="n">
        <x:f>Inputs!$B$8-H55-I55-J55-K55</x:f>
        <x:v>0.42215982672767993</x:v>
      </x:c>
      <x:c r="M55" s="30" t="n">
        <x:f>(Inputs!$B$8-H55)/Inputs!$B$8</x:f>
        <x:v>0.9999922078987686</x:v>
      </x:c>
      <x:c r="N55" s="30" t="n">
        <x:f>J55/Inputs!$B$8</x:f>
        <x:v>0.7341494831550088</x:v>
      </x:c>
      <x:c r="O55" s="30" t="n">
        <x:f>J55/(Inputs!$B$8-H55)</x:f>
        <x:v>0.7341552037666761</x:v>
      </x:c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 ht="15" hidden="0" customHeight="1">
      <x:c r="A56" s="18" t="n">
        <x:v>393.15</x:v>
      </x:c>
      <x:c r="B56" s="50" t="n">
        <x:v>0.265</x:v>
      </x:c>
      <x:c r="C56" s="18" t="n">
        <x:f>VLOOKUP(A56,Inputs!$A$13:$F$15,2,FALSE)</x:f>
        <x:v>43.83</x:v>
      </x:c>
      <x:c r="D56" s="18" t="n">
        <x:f>VLOOKUP(A56,Inputs!$A$13:$F$15,3,FALSE)</x:f>
        <x:v>14.29</x:v>
      </x:c>
      <x:c r="E56" s="18" t="n">
        <x:f>VLOOKUP(A56,Inputs!$A$13:$F$15,4,FALSE)</x:f>
        <x:v>1.41</x:v>
      </x:c>
      <x:c r="F56" s="18" t="n">
        <x:f>VLOOKUP(A56,Inputs!$A$13:$F$15,5,FALSE)</x:f>
        <x:v>1.67</x:v>
      </x:c>
      <x:c r="G56" s="18" t="n">
        <x:f>VLOOKUP(A56,Inputs!$A$13:$F$15,6,FALSE)</x:f>
        <x:v>0.79</x:v>
      </x:c>
      <x:c r="H56" s="30" t="n">
        <x:f>Inputs!$B$8*EXP(-(C56+E56)*B56)</x:f>
        <x:v>0.000012429314293124254</x:v>
      </x:c>
      <x:c r="I56" s="30" t="n">
        <x:f>C56*Inputs!$B$8/(D56+F56-C56-E56)*(EXP(-(C56+E56)*B56)-EXP(-(D56+F56)*B56))</x:f>
        <x:v>0.04357525293125566</x:v>
      </x:c>
      <x:c r="J56" s="30" t="n">
        <x:f>D56*C56*Inputs!$B$8/(D56+F56-C56-E56)*((EXP(-(C56+E56)*B56)-EXP(-G56*B56))/(G56-C56-E56)-(EXP(-(D56+F56)*B56)-EXP(-G56*B56))/(G56-D56-F56))</x:f>
        <x:v>1.4657450896611</x:v>
      </x:c>
      <x:c r="K56" s="30" t="n">
        <x:f>E56*Inputs!$B$8/(C56+E56)*(1-EXP(-(C56+E56)*B56))</x:f>
        <x:v>0.062333830120841004</x:v>
      </x:c>
      <x:c r="L56" s="30" t="n">
        <x:f>Inputs!$B$8-H56-I56-J56-K56</x:f>
        <x:v>0.4283333979725103</x:v>
      </x:c>
      <x:c r="M56" s="30" t="n">
        <x:f>(Inputs!$B$8-H56)/Inputs!$B$8</x:f>
        <x:v>0.9999937853428534</x:v>
      </x:c>
      <x:c r="N56" s="30" t="n">
        <x:f>J56/Inputs!$B$8</x:f>
        <x:v>0.73287254483055</x:v>
      </x:c>
      <x:c r="O56" s="30" t="n">
        <x:f>J56/(Inputs!$B$8-H56)</x:f>
        <x:v>0.7328770994104534</x:v>
      </x:c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 ht="15" hidden="0" customHeight="1">
      <x:c r="A57" s="18" t="n">
        <x:v>393.15</x:v>
      </x:c>
      <x:c r="B57" s="50" t="n">
        <x:v>0.27</x:v>
      </x:c>
      <x:c r="C57" s="18" t="n">
        <x:f>VLOOKUP(A57,Inputs!$A$13:$F$15,2,FALSE)</x:f>
        <x:v>43.83</x:v>
      </x:c>
      <x:c r="D57" s="18" t="n">
        <x:f>VLOOKUP(A57,Inputs!$A$13:$F$15,3,FALSE)</x:f>
        <x:v>14.29</x:v>
      </x:c>
      <x:c r="E57" s="18" t="n">
        <x:f>VLOOKUP(A57,Inputs!$A$13:$F$15,4,FALSE)</x:f>
        <x:v>1.41</x:v>
      </x:c>
      <x:c r="F57" s="18" t="n">
        <x:f>VLOOKUP(A57,Inputs!$A$13:$F$15,5,FALSE)</x:f>
        <x:v>1.67</x:v>
      </x:c>
      <x:c r="G57" s="18" t="n">
        <x:f>VLOOKUP(A57,Inputs!$A$13:$F$15,6,FALSE)</x:f>
        <x:v>0.79</x:v>
      </x:c>
      <x:c r="H57" s="30" t="n">
        <x:f>Inputs!$B$8*EXP(-(C57+E57)*B57)</x:f>
        <x:v>0.000009913106183405103</x:v>
      </x:c>
      <x:c r="I57" s="30" t="n">
        <x:f>C57*Inputs!$B$8/(D57+F57-C57-E57)*(EXP(-(C57+E57)*B57)-EXP(-(D57+F57)*B57))</x:f>
        <x:v>0.04023541362299059</x:v>
      </x:c>
      <x:c r="J57" s="30" t="n">
        <x:f>D57*C57*Inputs!$B$8/(D57+F57-C57-E57)*((EXP(-(C57+E57)*B57)-EXP(-G57*B57))/(G57-C57-E57)-(EXP(-(D57+F57)*B57)-EXP(-G57*B57))/(G57-D57-F57))</x:f>
        <x:v>1.462953387867542</x:v>
      </x:c>
      <x:c r="K57" s="30" t="n">
        <x:f>E57*Inputs!$B$8/(C57+E57)*(1-EXP(-(C57+E57)*B57))</x:f>
        <x:v>0.0623339085437728</x:v>
      </x:c>
      <x:c r="L57" s="30" t="n">
        <x:f>Inputs!$B$8-H57-I57-J57-K57</x:f>
        <x:v>0.43446737685951115</x:v>
      </x:c>
      <x:c r="M57" s="30" t="n">
        <x:f>(Inputs!$B$8-H57)/Inputs!$B$8</x:f>
        <x:v>0.9999950434469083</x:v>
      </x:c>
      <x:c r="N57" s="30" t="n">
        <x:f>J57/Inputs!$B$8</x:f>
        <x:v>0.731476693933771</x:v>
      </x:c>
      <x:c r="O57" s="30" t="n">
        <x:f>J57/(Inputs!$B$8-H57)</x:f>
        <x:v>0.7314803195548104</x:v>
      </x:c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 ht="15" hidden="0" customHeight="1">
      <x:c r="A58" s="18" t="n">
        <x:v>393.15</x:v>
      </x:c>
      <x:c r="B58" s="50" t="n">
        <x:v>0.275</x:v>
      </x:c>
      <x:c r="C58" s="18" t="n">
        <x:f>VLOOKUP(A58,Inputs!$A$13:$F$15,2,FALSE)</x:f>
        <x:v>43.83</x:v>
      </x:c>
      <x:c r="D58" s="18" t="n">
        <x:f>VLOOKUP(A58,Inputs!$A$13:$F$15,3,FALSE)</x:f>
        <x:v>14.29</x:v>
      </x:c>
      <x:c r="E58" s="18" t="n">
        <x:f>VLOOKUP(A58,Inputs!$A$13:$F$15,4,FALSE)</x:f>
        <x:v>1.41</x:v>
      </x:c>
      <x:c r="F58" s="18" t="n">
        <x:f>VLOOKUP(A58,Inputs!$A$13:$F$15,5,FALSE)</x:f>
        <x:v>1.67</x:v>
      </x:c>
      <x:c r="G58" s="18" t="n">
        <x:f>VLOOKUP(A58,Inputs!$A$13:$F$15,6,FALSE)</x:f>
        <x:v>0.79</x:v>
      </x:c>
      <x:c r="H58" s="30" t="n">
        <x:f>Inputs!$B$8*EXP(-(C58+E58)*B58)</x:f>
        <x:v>0.000007906282831533667</x:v>
      </x:c>
      <x:c r="I58" s="30" t="n">
        <x:f>C58*Inputs!$B$8/(D58+F58-C58-E58)*(EXP(-(C58+E58)*B58)-EXP(-(D58+F58)*B58))</x:f>
        <x:v>0.03715126307090875</x:v>
      </x:c>
      <x:c r="J58" s="30" t="n">
        <x:f>D58*C58*Inputs!$B$8/(D58+F58-C58-E58)*((EXP(-(C58+E58)*B58)-EXP(-G58*B58))/(G58-C58-E58)-(EXP(-(D58+F58)*B58)-EXP(-G58*B58))/(G58-D58-F58))</x:f>
        <x:v>1.459943773743233</x:v>
      </x:c>
      <x:c r="K58" s="30" t="n">
        <x:f>E58*Inputs!$B$8/(C58+E58)*(1-EXP(-(C58+E58)*B58))</x:f>
        <x:v>0.06233397109065446</x:v>
      </x:c>
      <x:c r="L58" s="30" t="n">
        <x:f>Inputs!$B$8-H58-I58-J58-K58</x:f>
        <x:v>0.4405630858123722</x:v>
      </x:c>
      <x:c r="M58" s="30" t="n">
        <x:f>(Inputs!$B$8-H58)/Inputs!$B$8</x:f>
        <x:v>0.9999960468585842</x:v>
      </x:c>
      <x:c r="N58" s="30" t="n">
        <x:f>J58/Inputs!$B$8</x:f>
        <x:v>0.7299718868716165</x:v>
      </x:c>
      <x:c r="O58" s="30" t="n">
        <x:f>J58/(Inputs!$B$8-H58)</x:f>
        <x:v>0.7299747725651224</x:v>
      </x:c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 ht="15" hidden="0" customHeight="1">
      <x:c r="A59" s="18" t="n">
        <x:v>393.15</x:v>
      </x:c>
      <x:c r="B59" s="50" t="n">
        <x:v>0.28</x:v>
      </x:c>
      <x:c r="C59" s="18" t="n">
        <x:f>VLOOKUP(A59,Inputs!$A$13:$F$15,2,FALSE)</x:f>
        <x:v>43.83</x:v>
      </x:c>
      <x:c r="D59" s="18" t="n">
        <x:f>VLOOKUP(A59,Inputs!$A$13:$F$15,3,FALSE)</x:f>
        <x:v>14.29</x:v>
      </x:c>
      <x:c r="E59" s="18" t="n">
        <x:f>VLOOKUP(A59,Inputs!$A$13:$F$15,4,FALSE)</x:f>
        <x:v>1.41</x:v>
      </x:c>
      <x:c r="F59" s="18" t="n">
        <x:f>VLOOKUP(A59,Inputs!$A$13:$F$15,5,FALSE)</x:f>
        <x:v>1.67</x:v>
      </x:c>
      <x:c r="G59" s="18" t="n">
        <x:f>VLOOKUP(A59,Inputs!$A$13:$F$15,6,FALSE)</x:f>
        <x:v>0.79</x:v>
      </x:c>
      <x:c r="H59" s="30" t="n">
        <x:f>Inputs!$B$8*EXP(-(C59+E59)*B59)</x:f>
        <x:v>0.000006305723660747916</x:v>
      </x:c>
      <x:c r="I59" s="30" t="n">
        <x:f>C59*Inputs!$B$8/(D59+F59-C59-E59)*(EXP(-(C59+E59)*B59)-EXP(-(D59+F59)*B59))</x:f>
        <x:v>0.03430328608008683</x:v>
      </x:c>
      <x:c r="J59" s="30" t="n">
        <x:f>D59*C59*Inputs!$B$8/(D59+F59-C59-E59)*((EXP(-(C59+E59)*B59)-EXP(-G59*B59))/(G59-C59-E59)-(EXP(-(D59+F59)*B59)-EXP(-G59*B59))/(G59-D59-F59))</x:f>
        <x:v>1.4567346338896707</x:v>
      </x:c>
      <x:c r="K59" s="30" t="n">
        <x:f>E59*Inputs!$B$8/(C59+E59)*(1-EXP(-(C59+E59)*B59))</x:f>
        <x:v>0.0623340209754562</x:v>
      </x:c>
      <x:c r="L59" s="30" t="n">
        <x:f>Inputs!$B$8-H59-I59-J59-K59</x:f>
        <x:v>0.44662175333112536</x:v>
      </x:c>
      <x:c r="M59" s="30" t="n">
        <x:f>(Inputs!$B$8-H59)/Inputs!$B$8</x:f>
        <x:v>0.9999968471381696</x:v>
      </x:c>
      <x:c r="N59" s="30" t="n">
        <x:f>J59/Inputs!$B$8</x:f>
        <x:v>0.7283673169448354</x:v>
      </x:c>
      <x:c r="O59" s="30" t="n">
        <x:f>J59/(Inputs!$B$8-H59)</x:f>
        <x:v>0.7283696133935879</x:v>
      </x:c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 ht="15" hidden="0" customHeight="1">
      <x:c r="A60" s="18" t="n">
        <x:v>393.15</x:v>
      </x:c>
      <x:c r="B60" s="50" t="n">
        <x:v>0.28500000000000003</x:v>
      </x:c>
      <x:c r="C60" s="18" t="n">
        <x:f>VLOOKUP(A60,Inputs!$A$13:$F$15,2,FALSE)</x:f>
        <x:v>43.83</x:v>
      </x:c>
      <x:c r="D60" s="18" t="n">
        <x:f>VLOOKUP(A60,Inputs!$A$13:$F$15,3,FALSE)</x:f>
        <x:v>14.29</x:v>
      </x:c>
      <x:c r="E60" s="18" t="n">
        <x:f>VLOOKUP(A60,Inputs!$A$13:$F$15,4,FALSE)</x:f>
        <x:v>1.41</x:v>
      </x:c>
      <x:c r="F60" s="18" t="n">
        <x:f>VLOOKUP(A60,Inputs!$A$13:$F$15,5,FALSE)</x:f>
        <x:v>1.67</x:v>
      </x:c>
      <x:c r="G60" s="18" t="n">
        <x:f>VLOOKUP(A60,Inputs!$A$13:$F$15,6,FALSE)</x:f>
        <x:v>0.79</x:v>
      </x:c>
      <x:c r="H60" s="30" t="n">
        <x:f>Inputs!$B$8*EXP(-(C60+E60)*B60)</x:f>
        <x:v>0.000005029183970895587</x:v>
      </x:c>
      <x:c r="I60" s="30" t="n">
        <x:f>C60*Inputs!$B$8/(D60+F60-C60-E60)*(EXP(-(C60+E60)*B60)-EXP(-(D60+F60)*B60))</x:f>
        <x:v>0.03167344484167973</x:v>
      </x:c>
      <x:c r="J60" s="30" t="n">
        <x:f>D60*C60*Inputs!$B$8/(D60+F60-C60-E60)*((EXP(-(C60+E60)*B60)-EXP(-G60*B60))/(G60-C60-E60)-(EXP(-(D60+F60)*B60)-EXP(-G60*B60))/(G60-D60-F60))</x:f>
        <x:v>1.4533429441976375</x:v>
      </x:c>
      <x:c r="K60" s="30" t="n">
        <x:f>E60*Inputs!$B$8/(C60+E60)*(1-EXP(-(C60+E60)*B60))</x:f>
        <x:v>0.06233406076150754</x:v>
      </x:c>
      <x:c r="L60" s="30" t="n">
        <x:f>Inputs!$B$8-H60-I60-J60-K60</x:f>
        <x:v>0.4526445210152043</x:v>
      </x:c>
      <x:c r="M60" s="30" t="n">
        <x:f>(Inputs!$B$8-H60)/Inputs!$B$8</x:f>
        <x:v>0.9999974854080146</x:v>
      </x:c>
      <x:c r="N60" s="30" t="n">
        <x:f>J60/Inputs!$B$8</x:f>
        <x:v>0.7266714720988188</x:v>
      </x:c>
      <x:c r="O60" s="30" t="n">
        <x:f>J60/(Inputs!$B$8-H60)</x:f>
        <x:v>0.7266732993856734</x:v>
      </x:c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 ht="15" hidden="0" customHeight="1">
      <x:c r="A61" s="18" t="n">
        <x:v>393.15</x:v>
      </x:c>
      <x:c r="B61" s="50" t="n">
        <x:v>0.29</x:v>
      </x:c>
      <x:c r="C61" s="18" t="n">
        <x:f>VLOOKUP(A61,Inputs!$A$13:$F$15,2,FALSE)</x:f>
        <x:v>43.83</x:v>
      </x:c>
      <x:c r="D61" s="18" t="n">
        <x:f>VLOOKUP(A61,Inputs!$A$13:$F$15,3,FALSE)</x:f>
        <x:v>14.29</x:v>
      </x:c>
      <x:c r="E61" s="18" t="n">
        <x:f>VLOOKUP(A61,Inputs!$A$13:$F$15,4,FALSE)</x:f>
        <x:v>1.41</x:v>
      </x:c>
      <x:c r="F61" s="18" t="n">
        <x:f>VLOOKUP(A61,Inputs!$A$13:$F$15,5,FALSE)</x:f>
        <x:v>1.67</x:v>
      </x:c>
      <x:c r="G61" s="18" t="n">
        <x:f>VLOOKUP(A61,Inputs!$A$13:$F$15,6,FALSE)</x:f>
        <x:v>0.79</x:v>
      </x:c>
      <x:c r="H61" s="30" t="n">
        <x:f>Inputs!$B$8*EXP(-(C61+E61)*B61)</x:f>
        <x:v>0.0000040110687962043055</x:v>
      </x:c>
      <x:c r="I61" s="30" t="n">
        <x:f>C61*Inputs!$B$8/(D61+F61-C61-E61)*(EXP(-(C61+E61)*B61)-EXP(-(D61+F61)*B61))</x:f>
        <x:v>0.029245069548274508</x:v>
      </x:c>
      <x:c r="J61" s="30" t="n">
        <x:f>D61*C61*Inputs!$B$8/(D61+F61-C61-E61)*((EXP(-(C61+E61)*B61)-EXP(-G61*B61))/(G61-C61-E61)-(EXP(-(D61+F61)*B61)-EXP(-G61*B61))/(G61-D61-F61))</x:f>
        <x:v>1.449784376810552</x:v>
      </x:c>
      <x:c r="K61" s="30" t="n">
        <x:f>E61*Inputs!$B$8/(C61+E61)*(1-EXP(-(C61+E61)*B61))</x:f>
        <x:v>0.062334092493213915</x:v>
      </x:c>
      <x:c r="L61" s="30" t="n">
        <x:f>Inputs!$B$8-H61-I61-J61-K61</x:f>
        <x:v>0.45863245007916337</x:v>
      </x:c>
      <x:c r="M61" s="30" t="n">
        <x:f>(Inputs!$B$8-H61)/Inputs!$B$8</x:f>
        <x:v>0.9999979944656019</x:v>
      </x:c>
      <x:c r="N61" s="30" t="n">
        <x:f>J61/Inputs!$B$8</x:f>
        <x:v>0.724892188405276</x:v>
      </x:c>
      <x:c r="O61" s="30" t="n">
        <x:f>J61/(Inputs!$B$8-H61)</x:f>
        <x:v>0.7248936422044104</x:v>
      </x:c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 ht="15" hidden="0" customHeight="1">
      <x:c r="A62" s="18" t="n">
        <x:v>393.15</x:v>
      </x:c>
      <x:c r="B62" s="50" t="n">
        <x:v>0.295</x:v>
      </x:c>
      <x:c r="C62" s="18" t="n">
        <x:f>VLOOKUP(A62,Inputs!$A$13:$F$15,2,FALSE)</x:f>
        <x:v>43.83</x:v>
      </x:c>
      <x:c r="D62" s="18" t="n">
        <x:f>VLOOKUP(A62,Inputs!$A$13:$F$15,3,FALSE)</x:f>
        <x:v>14.29</x:v>
      </x:c>
      <x:c r="E62" s="18" t="n">
        <x:f>VLOOKUP(A62,Inputs!$A$13:$F$15,4,FALSE)</x:f>
        <x:v>1.41</x:v>
      </x:c>
      <x:c r="F62" s="18" t="n">
        <x:f>VLOOKUP(A62,Inputs!$A$13:$F$15,5,FALSE)</x:f>
        <x:v>1.67</x:v>
      </x:c>
      <x:c r="G62" s="18" t="n">
        <x:f>VLOOKUP(A62,Inputs!$A$13:$F$15,6,FALSE)</x:f>
        <x:v>0.79</x:v>
      </x:c>
      <x:c r="H62" s="30" t="n">
        <x:f>Inputs!$B$8*EXP(-(C62+E62)*B62)</x:f>
        <x:v>0.0000031990623093111503</x:v>
      </x:c>
      <x:c r="I62" s="30" t="n">
        <x:f>C62*Inputs!$B$8/(D62+F62-C62-E62)*(EXP(-(C62+E62)*B62)-EXP(-(D62+F62)*B62))</x:f>
        <x:v>0.027002756603463532</x:v>
      </x:c>
      <x:c r="J62" s="30" t="n">
        <x:f>D62*C62*Inputs!$B$8/(D62+F62-C62-E62)*((EXP(-(C62+E62)*B62)-EXP(-G62*B62))/(G62-C62-E62)-(EXP(-(D62+F62)*B62)-EXP(-G62*B62))/(G62-D62-F62))</x:f>
        <x:v>1.4460733991394645</x:v>
      </x:c>
      <x:c r="K62" s="30" t="n">
        <x:f>E62*Inputs!$B$8/(C62+E62)*(1-EXP(-(C62+E62)*B62))</x:f>
        <x:v>0.0623341178011084</x:v>
      </x:c>
      <x:c r="L62" s="30" t="n">
        <x:f>Inputs!$B$8-H62-I62-J62-K62</x:f>
        <x:v>0.46458652739365414</x:v>
      </x:c>
      <x:c r="M62" s="30" t="n">
        <x:f>(Inputs!$B$8-H62)/Inputs!$B$8</x:f>
        <x:v>0.9999984004688454</x:v>
      </x:c>
      <x:c r="N62" s="30" t="n">
        <x:f>J62/Inputs!$B$8</x:f>
        <x:v>0.7230366995697323</x:v>
      </x:c>
      <x:c r="O62" s="30" t="n">
        <x:f>J62/(Inputs!$B$8-H62)</x:f>
        <x:v>0.7230378560913091</x:v>
      </x:c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 ht="15" hidden="0" customHeight="1">
      <x:c r="A63" s="18" t="n">
        <x:v>393.15</x:v>
      </x:c>
      <x:c r="B63" s="50" t="n">
        <x:v>0.3</x:v>
      </x:c>
      <x:c r="C63" s="18" t="n">
        <x:f>VLOOKUP(A63,Inputs!$A$13:$F$15,2,FALSE)</x:f>
        <x:v>43.83</x:v>
      </x:c>
      <x:c r="D63" s="18" t="n">
        <x:f>VLOOKUP(A63,Inputs!$A$13:$F$15,3,FALSE)</x:f>
        <x:v>14.29</x:v>
      </x:c>
      <x:c r="E63" s="18" t="n">
        <x:f>VLOOKUP(A63,Inputs!$A$13:$F$15,4,FALSE)</x:f>
        <x:v>1.41</x:v>
      </x:c>
      <x:c r="F63" s="18" t="n">
        <x:f>VLOOKUP(A63,Inputs!$A$13:$F$15,5,FALSE)</x:f>
        <x:v>1.67</x:v>
      </x:c>
      <x:c r="G63" s="18" t="n">
        <x:f>VLOOKUP(A63,Inputs!$A$13:$F$15,6,FALSE)</x:f>
        <x:v>0.79</x:v>
      </x:c>
      <x:c r="H63" s="30" t="n">
        <x:f>Inputs!$B$8*EXP(-(C63+E63)*B63)</x:f>
        <x:v>0.000002551439573546995</x:v>
      </x:c>
      <x:c r="I63" s="30" t="n">
        <x:f>C63*Inputs!$B$8/(D63+F63-C63-E63)*(EXP(-(C63+E63)*B63)-EXP(-(D63+F63)*B63))</x:f>
        <x:v>0.02493227400420579</x:v>
      </x:c>
      <x:c r="J63" s="30" t="n">
        <x:f>D63*C63*Inputs!$B$8/(D63+F63-C63-E63)*((EXP(-(C63+E63)*B63)-EXP(-G63*B63))/(G63-C63-E63)-(EXP(-(D63+F63)*B63)-EXP(-G63*B63))/(G63-D63-F63))</x:f>
        <x:v>1.4422233654875636</x:v>
      </x:c>
      <x:c r="K63" s="30" t="n">
        <x:f>E63*Inputs!$B$8/(C63+E63)*(1-EXP(-(C63+E63)*B63))</x:f>
        <x:v>0.06233413798563663</x:v>
      </x:c>
      <x:c r="L63" s="30" t="n">
        <x:f>Inputs!$B$8-H63-I63-J63-K63</x:f>
        <x:v>0.47050767108302044</x:v>
      </x:c>
      <x:c r="M63" s="30" t="n">
        <x:f>(Inputs!$B$8-H63)/Inputs!$B$8</x:f>
        <x:v>0.9999987242802132</x:v>
      </x:c>
      <x:c r="N63" s="30" t="n">
        <x:f>J63/Inputs!$B$8</x:f>
        <x:v>0.7211116827437818</x:v>
      </x:c>
      <x:c r="O63" s="30" t="n">
        <x:f>J63/(Inputs!$B$8-H63)</x:f>
        <x:v>0.7211126026813975</x:v>
      </x:c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 ht="15" hidden="0" customHeight="1">
      <x:c r="A64" s="18" t="n">
        <x:v>403.15</x:v>
      </x:c>
      <x:c r="B64" s="50" t="n">
        <x:v>0.005</x:v>
      </x:c>
      <x:c r="C64" s="18" t="n">
        <x:f>VLOOKUP(A64,Inputs!$A$13:$F$15,2,FALSE)</x:f>
        <x:v>76.2</x:v>
      </x:c>
      <x:c r="D64" s="18" t="n">
        <x:f>VLOOKUP(A64,Inputs!$A$13:$F$15,3,FALSE)</x:f>
        <x:v>38.05</x:v>
      </x:c>
      <x:c r="E64" s="18" t="n">
        <x:f>VLOOKUP(A64,Inputs!$A$13:$F$15,4,FALSE)</x:f>
        <x:v>1.97</x:v>
      </x:c>
      <x:c r="F64" s="18" t="n">
        <x:f>VLOOKUP(A64,Inputs!$A$13:$F$15,5,FALSE)</x:f>
        <x:v>2.6</x:v>
      </x:c>
      <x:c r="G64" s="18" t="n">
        <x:f>VLOOKUP(A64,Inputs!$A$13:$F$15,6,FALSE)</x:f>
        <x:v>3.3</x:v>
      </x:c>
      <x:c r="H64" s="30" t="n">
        <x:f>Inputs!$B$8*EXP(-(C64+E64)*B64)</x:f>
        <x:v>1.3529632413447046</x:v>
      </x:c>
      <x:c r="I64" s="30" t="n">
        <x:f>C64*Inputs!$B$8/(D64+F64-C64-E64)*(EXP(-(C64+E64)*B64)-EXP(-(D64+F64)*B64))</x:f>
        <x:v>0.5670018307302592</x:v>
      </x:c>
      <x:c r="J64" s="30" t="n">
        <x:f>D64*C64*Inputs!$B$8/(D64+F64-C64-E64)*((EXP(-(C64+E64)*B64)-EXP(-G64*B64))/(G64-C64-E64)-(EXP(-(D64+F64)*B64)-EXP(-G64*B64))/(G64-D64-F64))</x:f>
        <x:v>0.059309428351471315</x:v>
      </x:c>
      <x:c r="K64" s="30" t="n">
        <x:f>E64*Inputs!$B$8/(C64+E64)*(1-EXP(-(C64+E64)*B64))</x:f>
        <x:v>0.016306286485236434</x:v>
      </x:c>
      <x:c r="L64" s="30" t="n">
        <x:f>Inputs!$B$8-H64-I64-J64-K64</x:f>
        <x:v>0.0044192130883284435</x:v>
      </x:c>
      <x:c r="M64" s="30" t="n">
        <x:f>(Inputs!$B$8-H64)/Inputs!$B$8</x:f>
        <x:v>0.3235183793276477</x:v>
      </x:c>
      <x:c r="N64" s="30" t="n">
        <x:f>J64/Inputs!$B$8</x:f>
        <x:v>0.029654714175735657</x:v>
      </x:c>
      <x:c r="O64" s="30" t="n">
        <x:f>J64/(Inputs!$B$8-H64)</x:f>
        <x:v>0.09166315137138603</x:v>
      </x:c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 ht="15" hidden="0" customHeight="1">
      <x:c r="A65" s="18" t="n">
        <x:v>403.15</x:v>
      </x:c>
      <x:c r="B65" s="50" t="n">
        <x:v>0.01</x:v>
      </x:c>
      <x:c r="C65" s="18" t="n">
        <x:f>VLOOKUP(A65,Inputs!$A$13:$F$15,2,FALSE)</x:f>
        <x:v>76.2</x:v>
      </x:c>
      <x:c r="D65" s="18" t="n">
        <x:f>VLOOKUP(A65,Inputs!$A$13:$F$15,3,FALSE)</x:f>
        <x:v>38.05</x:v>
      </x:c>
      <x:c r="E65" s="18" t="n">
        <x:f>VLOOKUP(A65,Inputs!$A$13:$F$15,4,FALSE)</x:f>
        <x:v>1.97</x:v>
      </x:c>
      <x:c r="F65" s="18" t="n">
        <x:f>VLOOKUP(A65,Inputs!$A$13:$F$15,5,FALSE)</x:f>
        <x:v>2.6</x:v>
      </x:c>
      <x:c r="G65" s="18" t="n">
        <x:f>VLOOKUP(A65,Inputs!$A$13:$F$15,6,FALSE)</x:f>
        <x:v>3.3</x:v>
      </x:c>
      <x:c r="H65" s="30" t="n">
        <x:f>Inputs!$B$8*EXP(-(C65+E65)*B65)</x:f>
        <x:v>0.9152547662149847</x:v>
      </x:c>
      <x:c r="I65" s="30" t="n">
        <x:f>C65*Inputs!$B$8/(D65+F65-C65-E65)*(EXP(-(C65+E65)*B65)-EXP(-(D65+F65)*B65))</x:f>
        <x:v>0.8462818812981472</x:v>
      </x:c>
      <x:c r="J65" s="30" t="n">
        <x:f>D65*C65*Inputs!$B$8/(D65+F65-C65-E65)*((EXP(-(C65+E65)*B65)-EXP(-G65*B65))/(G65-C65-E65)-(EXP(-(D65+F65)*B65)-EXP(-G65*B65))/(G65-D65-F65))</x:f>
        <x:v>0.1952486828936102</x:v>
      </x:c>
      <x:c r="K65" s="30" t="n">
        <x:f>E65*Inputs!$B$8/(C65+E65)*(1-EXP(-(C65+E65)*B65))</x:f>
        <x:v>0.027337189593916848</x:v>
      </x:c>
      <x:c r="L65" s="30" t="n">
        <x:f>Inputs!$B$8-H65-I65-J65-K65</x:f>
        <x:v>0.015877479999340968</x:v>
      </x:c>
      <x:c r="M65" s="30" t="n">
        <x:f>(Inputs!$B$8-H65)/Inputs!$B$8</x:f>
        <x:v>0.5423726168925076</x:v>
      </x:c>
      <x:c r="N65" s="30" t="n">
        <x:f>J65/Inputs!$B$8</x:f>
        <x:v>0.0976243414468051</x:v>
      </x:c>
      <x:c r="O65" s="30" t="n">
        <x:f>J65/(Inputs!$B$8-H65)</x:f>
        <x:v>0.17999496730889197</x:v>
      </x:c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 ht="15" hidden="0" customHeight="1">
      <x:c r="A66" s="18" t="n">
        <x:v>403.15</x:v>
      </x:c>
      <x:c r="B66" s="50" t="n">
        <x:v>0.015</x:v>
      </x:c>
      <x:c r="C66" s="18" t="n">
        <x:f>VLOOKUP(A66,Inputs!$A$13:$F$15,2,FALSE)</x:f>
        <x:v>76.2</x:v>
      </x:c>
      <x:c r="D66" s="18" t="n">
        <x:f>VLOOKUP(A66,Inputs!$A$13:$F$15,3,FALSE)</x:f>
        <x:v>38.05</x:v>
      </x:c>
      <x:c r="E66" s="18" t="n">
        <x:f>VLOOKUP(A66,Inputs!$A$13:$F$15,4,FALSE)</x:f>
        <x:v>1.97</x:v>
      </x:c>
      <x:c r="F66" s="18" t="n">
        <x:f>VLOOKUP(A66,Inputs!$A$13:$F$15,5,FALSE)</x:f>
        <x:v>2.6</x:v>
      </x:c>
      <x:c r="G66" s="18" t="n">
        <x:f>VLOOKUP(A66,Inputs!$A$13:$F$15,6,FALSE)</x:f>
        <x:v>3.3</x:v>
      </x:c>
      <x:c r="H66" s="30" t="n">
        <x:f>Inputs!$B$8*EXP(-(C66+E66)*B66)</x:f>
        <x:v>0.6191530275772078</x:v>
      </x:c>
      <x:c r="I66" s="30" t="n">
        <x:f>C66*Inputs!$B$8/(D66+F66-C66-E66)*(EXP(-(C66+E66)*B66)-EXP(-(D66+F66)*B66))</x:f>
        <x:v>0.9501043710449479</x:v>
      </x:c>
      <x:c r="J66" s="30" t="n">
        <x:f>D66*C66*Inputs!$B$8/(D66+F66-C66-E66)*((EXP(-(C66+E66)*B66)-EXP(-G66*B66))/(G66-C66-E66)-(EXP(-(D66+F66)*B66)-EXP(-G66*B66))/(G66-D66-F66))</x:f>
        <x:v>0.363656761525994</x:v>
      </x:c>
      <x:c r="K66" s="30" t="n">
        <x:f>E66*Inputs!$B$8/(C66+E66)*(1-EXP(-(C66+E66)*B66))</x:f>
        <x:v>0.03479939280635666</x:v>
      </x:c>
      <x:c r="L66" s="30" t="n">
        <x:f>Inputs!$B$8-H66-I66-J66-K66</x:f>
        <x:v>0.032286447045493466</x:v>
      </x:c>
      <x:c r="M66" s="30" t="n">
        <x:f>(Inputs!$B$8-H66)/Inputs!$B$8</x:f>
        <x:v>0.690423486211396</x:v>
      </x:c>
      <x:c r="N66" s="30" t="n">
        <x:f>J66/Inputs!$B$8</x:f>
        <x:v>0.181828380762997</x:v>
      </x:c>
      <x:c r="O66" s="30" t="n">
        <x:f>J66/(Inputs!$B$8-H66)</x:f>
        <x:v>0.2633577570785653</x:v>
      </x:c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 ht="15" hidden="0" customHeight="1">
      <x:c r="A67" s="18" t="n">
        <x:v>403.15</x:v>
      </x:c>
      <x:c r="B67" s="50" t="n">
        <x:v>0.02</x:v>
      </x:c>
      <x:c r="C67" s="18" t="n">
        <x:f>VLOOKUP(A67,Inputs!$A$13:$F$15,2,FALSE)</x:f>
        <x:v>76.2</x:v>
      </x:c>
      <x:c r="D67" s="18" t="n">
        <x:f>VLOOKUP(A67,Inputs!$A$13:$F$15,3,FALSE)</x:f>
        <x:v>38.05</x:v>
      </x:c>
      <x:c r="E67" s="18" t="n">
        <x:f>VLOOKUP(A67,Inputs!$A$13:$F$15,4,FALSE)</x:f>
        <x:v>1.97</x:v>
      </x:c>
      <x:c r="F67" s="18" t="n">
        <x:f>VLOOKUP(A67,Inputs!$A$13:$F$15,5,FALSE)</x:f>
        <x:v>2.6</x:v>
      </x:c>
      <x:c r="G67" s="18" t="n">
        <x:f>VLOOKUP(A67,Inputs!$A$13:$F$15,6,FALSE)</x:f>
        <x:v>3.3</x:v>
      </x:c>
      <x:c r="H67" s="30" t="n">
        <x:f>Inputs!$B$8*EXP(-(C67+E67)*B67)</x:f>
        <x:v>0.4188456435396231</x:v>
      </x:c>
      <x:c r="I67" s="30" t="n">
        <x:f>C67*Inputs!$B$8/(D67+F67-C67-E67)*(EXP(-(C67+E67)*B67)-EXP(-(D67+F67)*B67))</x:f>
        <x:v>0.9508861120891963</x:v>
      </x:c>
      <x:c r="J67" s="30" t="n">
        <x:f>D67*C67*Inputs!$B$8/(D67+F67-C67-E67)*((EXP(-(C67+E67)*B67)-EXP(-G67*B67))/(G67-C67-E67)-(EXP(-(D67+F67)*B67)-EXP(-G67*B67))/(G67-D67-F67))</x:f>
        <x:v>0.5382507535740078</x:v>
      </x:c>
      <x:c r="K67" s="30" t="n">
        <x:f>E67*Inputs!$B$8/(C67+E67)*(1-EXP(-(C67+E67)*B67))</x:f>
        <x:v>0.03984743612929439</x:v>
      </x:c>
      <x:c r="L67" s="30" t="n">
        <x:f>Inputs!$B$8-H67-I67-J67-K67</x:f>
        <x:v>0.05217005466787853</x:v>
      </x:c>
      <x:c r="M67" s="30" t="n">
        <x:f>(Inputs!$B$8-H67)/Inputs!$B$8</x:f>
        <x:v>0.7905771782301885</x:v>
      </x:c>
      <x:c r="N67" s="30" t="n">
        <x:f>J67/Inputs!$B$8</x:f>
        <x:v>0.2691253767870039</x:v>
      </x:c>
      <x:c r="O67" s="30" t="n">
        <x:f>J67/(Inputs!$B$8-H67)</x:f>
        <x:v>0.3404163239185283</x:v>
      </x:c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 ht="15" hidden="0" customHeight="1">
      <x:c r="A68" s="18" t="n">
        <x:v>403.15</x:v>
      </x:c>
      <x:c r="B68" s="50" t="n">
        <x:v>0.025</x:v>
      </x:c>
      <x:c r="C68" s="18" t="n">
        <x:f>VLOOKUP(A68,Inputs!$A$13:$F$15,2,FALSE)</x:f>
        <x:v>76.2</x:v>
      </x:c>
      <x:c r="D68" s="18" t="n">
        <x:f>VLOOKUP(A68,Inputs!$A$13:$F$15,3,FALSE)</x:f>
        <x:v>38.05</x:v>
      </x:c>
      <x:c r="E68" s="18" t="n">
        <x:f>VLOOKUP(A68,Inputs!$A$13:$F$15,4,FALSE)</x:f>
        <x:v>1.97</x:v>
      </x:c>
      <x:c r="F68" s="18" t="n">
        <x:f>VLOOKUP(A68,Inputs!$A$13:$F$15,5,FALSE)</x:f>
        <x:v>2.6</x:v>
      </x:c>
      <x:c r="G68" s="18" t="n">
        <x:f>VLOOKUP(A68,Inputs!$A$13:$F$15,6,FALSE)</x:f>
        <x:v>3.3</x:v>
      </x:c>
      <x:c r="H68" s="30" t="n">
        <x:f>Inputs!$B$8*EXP(-(C68+E68)*B68)</x:f>
        <x:v>0.28334137975323864</x:v>
      </x:c>
      <x:c r="I68" s="30" t="n">
        <x:f>C68*Inputs!$B$8/(D68+F68-C68-E68)*(EXP(-(C68+E68)*B68)-EXP(-(D68+F68)*B68))</x:f>
        <x:v>0.8947367440553838</x:v>
      </x:c>
      <x:c r="J68" s="30" t="n">
        <x:f>D68*C68*Inputs!$B$8/(D68+F68-C68-E68)*((EXP(-(C68+E68)*B68)-EXP(-G68*B68))/(G68-C68-E68)-(EXP(-(D68+F68)*B68)-EXP(-G68*B68))/(G68-D68-F68))</x:f>
        <x:v>0.7041809673702603</x:v>
      </x:c>
      <x:c r="K68" s="30" t="n">
        <x:f>E68*Inputs!$B$8/(C68+E68)*(1-EXP(-(C68+E68)*B68))</x:f>
        <x:v>0.04326234465761954</x:v>
      </x:c>
      <x:c r="L68" s="30" t="n">
        <x:f>Inputs!$B$8-H68-I68-J68-K68</x:f>
        <x:v>0.07447856416349766</x:v>
      </x:c>
      <x:c r="M68" s="30" t="n">
        <x:f>(Inputs!$B$8-H68)/Inputs!$B$8</x:f>
        <x:v>0.8583293101233807</x:v>
      </x:c>
      <x:c r="N68" s="30" t="n">
        <x:f>J68/Inputs!$B$8</x:f>
        <x:v>0.35209048368513013</x:v>
      </x:c>
      <x:c r="O68" s="30" t="n">
        <x:f>J68/(Inputs!$B$8-H68)</x:f>
        <x:v>0.4102044279887388</x:v>
      </x:c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 ht="15" hidden="0" customHeight="1">
      <x:c r="A69" s="18" t="n">
        <x:v>403.15</x:v>
      </x:c>
      <x:c r="B69" s="50" t="n">
        <x:v>0.03</x:v>
      </x:c>
      <x:c r="C69" s="18" t="n">
        <x:f>VLOOKUP(A69,Inputs!$A$13:$F$15,2,FALSE)</x:f>
        <x:v>76.2</x:v>
      </x:c>
      <x:c r="D69" s="18" t="n">
        <x:f>VLOOKUP(A69,Inputs!$A$13:$F$15,3,FALSE)</x:f>
        <x:v>38.05</x:v>
      </x:c>
      <x:c r="E69" s="18" t="n">
        <x:f>VLOOKUP(A69,Inputs!$A$13:$F$15,4,FALSE)</x:f>
        <x:v>1.97</x:v>
      </x:c>
      <x:c r="F69" s="18" t="n">
        <x:f>VLOOKUP(A69,Inputs!$A$13:$F$15,5,FALSE)</x:f>
        <x:v>2.6</x:v>
      </x:c>
      <x:c r="G69" s="18" t="n">
        <x:f>VLOOKUP(A69,Inputs!$A$13:$F$15,6,FALSE)</x:f>
        <x:v>3.3</x:v>
      </x:c>
      <x:c r="H69" s="30" t="n">
        <x:f>Inputs!$B$8*EXP(-(C69+E69)*B69)</x:f>
        <x:v>0.1916752357790113</x:v>
      </x:c>
      <x:c r="I69" s="30" t="n">
        <x:f>C69*Inputs!$B$8/(D69+F69-C69-E69)*(EXP(-(C69+E69)*B69)-EXP(-(D69+F69)*B69))</x:f>
        <x:v>0.8104991107849381</x:v>
      </x:c>
      <x:c r="J69" s="30" t="n">
        <x:f>D69*C69*Inputs!$B$8/(D69+F69-C69-E69)*((EXP(-(C69+E69)*B69)-EXP(-G69*B69))/(G69-C69-E69)-(EXP(-(D69+F69)*B69)-EXP(-G69*B69))/(G69-D69-F69))</x:f>
        <x:v>0.8537926716777875</x:v>
      </x:c>
      <x:c r="K69" s="30" t="n">
        <x:f>E69*Inputs!$B$8/(C69+E69)*(1-EXP(-(C69+E69)*B69))</x:f>
        <x:v>0.04557246751330878</x:v>
      </x:c>
      <x:c r="L69" s="30" t="n">
        <x:f>Inputs!$B$8-H69-I69-J69-K69</x:f>
        <x:v>0.09846051424495439</x:v>
      </x:c>
      <x:c r="M69" s="30" t="n">
        <x:f>(Inputs!$B$8-H69)/Inputs!$B$8</x:f>
        <x:v>0.9041623821104944</x:v>
      </x:c>
      <x:c r="N69" s="30" t="n">
        <x:f>J69/Inputs!$B$8</x:f>
        <x:v>0.42689633583889375</x:v>
      </x:c>
      <x:c r="O69" s="30" t="n">
        <x:f>J69/(Inputs!$B$8-H69)</x:f>
        <x:v>0.4721456502563544</x:v>
      </x:c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 ht="15" hidden="0" customHeight="1">
      <x:c r="A70" s="18" t="n">
        <x:v>403.15</x:v>
      </x:c>
      <x:c r="B70" s="50" t="n">
        <x:v>0.035</x:v>
      </x:c>
      <x:c r="C70" s="18" t="n">
        <x:f>VLOOKUP(A70,Inputs!$A$13:$F$15,2,FALSE)</x:f>
        <x:v>76.2</x:v>
      </x:c>
      <x:c r="D70" s="18" t="n">
        <x:f>VLOOKUP(A70,Inputs!$A$13:$F$15,3,FALSE)</x:f>
        <x:v>38.05</x:v>
      </x:c>
      <x:c r="E70" s="18" t="n">
        <x:f>VLOOKUP(A70,Inputs!$A$13:$F$15,4,FALSE)</x:f>
        <x:v>1.97</x:v>
      </x:c>
      <x:c r="F70" s="18" t="n">
        <x:f>VLOOKUP(A70,Inputs!$A$13:$F$15,5,FALSE)</x:f>
        <x:v>2.6</x:v>
      </x:c>
      <x:c r="G70" s="18" t="n">
        <x:f>VLOOKUP(A70,Inputs!$A$13:$F$15,6,FALSE)</x:f>
        <x:v>3.3</x:v>
      </x:c>
      <x:c r="H70" s="30" t="n">
        <x:f>Inputs!$B$8*EXP(-(C70+E70)*B70)</x:f>
        <x:v>0.12966477414254077</x:v>
      </x:c>
      <x:c r="I70" s="30" t="n">
        <x:f>C70*Inputs!$B$8/(D70+F70-C70-E70)*(EXP(-(C70+E70)*B70)-EXP(-(D70+F70)*B70))</x:f>
        <x:v>0.7157675161005709</x:v>
      </x:c>
      <x:c r="J70" s="30" t="n">
        <x:f>D70*C70*Inputs!$B$8/(D70+F70-C70-E70)*((EXP(-(C70+E70)*B70)-EXP(-G70*B70))/(G70-C70-E70)-(EXP(-(D70+F70)*B70)-EXP(-G70*B70))/(G70-D70-F70))</x:f>
        <x:v>0.983858209150953</x:v>
      </x:c>
      <x:c r="K70" s="30" t="n">
        <x:f>E70*Inputs!$B$8/(C70+E70)*(1-EXP(-(C70+E70)*B70))</x:f>
        <x:v>0.04713522316667768</x:v>
      </x:c>
      <x:c r="L70" s="30" t="n">
        <x:f>Inputs!$B$8-H70-I70-J70-K70</x:f>
        <x:v>0.12357427743925781</x:v>
      </x:c>
      <x:c r="M70" s="30" t="n">
        <x:f>(Inputs!$B$8-H70)/Inputs!$B$8</x:f>
        <x:v>0.9351676129287296</x:v>
      </x:c>
      <x:c r="N70" s="30" t="n">
        <x:f>J70/Inputs!$B$8</x:f>
        <x:v>0.4919291045754765</x:v>
      </x:c>
      <x:c r="O70" s="30" t="n">
        <x:f>J70/(Inputs!$B$8-H70)</x:f>
        <x:v>0.5260330851652014</x:v>
      </x:c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 ht="15" hidden="0" customHeight="1">
      <x:c r="A71" s="18" t="n">
        <x:v>403.15</x:v>
      </x:c>
      <x:c r="B71" s="50" t="n">
        <x:v>0.04</x:v>
      </x:c>
      <x:c r="C71" s="18" t="n">
        <x:f>VLOOKUP(A71,Inputs!$A$13:$F$15,2,FALSE)</x:f>
        <x:v>76.2</x:v>
      </x:c>
      <x:c r="D71" s="18" t="n">
        <x:f>VLOOKUP(A71,Inputs!$A$13:$F$15,3,FALSE)</x:f>
        <x:v>38.05</x:v>
      </x:c>
      <x:c r="E71" s="18" t="n">
        <x:f>VLOOKUP(A71,Inputs!$A$13:$F$15,4,FALSE)</x:f>
        <x:v>1.97</x:v>
      </x:c>
      <x:c r="F71" s="18" t="n">
        <x:f>VLOOKUP(A71,Inputs!$A$13:$F$15,5,FALSE)</x:f>
        <x:v>2.6</x:v>
      </x:c>
      <x:c r="G71" s="18" t="n">
        <x:f>VLOOKUP(A71,Inputs!$A$13:$F$15,6,FALSE)</x:f>
        <x:v>3.3</x:v>
      </x:c>
      <x:c r="H71" s="30" t="n">
        <x:f>Inputs!$B$8*EXP(-(C71+E71)*B71)</x:f>
        <x:v>0.08771583655606051</x:v>
      </x:c>
      <x:c r="I71" s="30" t="n">
        <x:f>C71*Inputs!$B$8/(D71+F71-C71-E71)*(EXP(-(C71+E71)*B71)-EXP(-(D71+F71)*B71))</x:f>
        <x:v>0.6208794833666201</x:v>
      </x:c>
      <x:c r="J71" s="30" t="n">
        <x:f>D71*C71*Inputs!$B$8/(D71+F71-C71-E71)*((EXP(-(C71+E71)*B71)-EXP(-G71*B71))/(G71-C71-E71)-(EXP(-(D71+F71)*B71)-EXP(-G71*B71))/(G71-D71-F71))</x:f>
        <x:v>1.093785540675375</x:v>
      </x:c>
      <x:c r="K71" s="30" t="n">
        <x:f>E71*Inputs!$B$8/(C71+E71)*(1-EXP(-(C71+E71)*B71))</x:f>
        <x:v>0.04819239864378356</x:v>
      </x:c>
      <x:c r="L71" s="30" t="n">
        <x:f>Inputs!$B$8-H71-I71-J71-K71</x:f>
        <x:v>0.14942674075816087</x:v>
      </x:c>
      <x:c r="M71" s="30" t="n">
        <x:f>(Inputs!$B$8-H71)/Inputs!$B$8</x:f>
        <x:v>0.9561420817219698</x:v>
      </x:c>
      <x:c r="N71" s="30" t="n">
        <x:f>J71/Inputs!$B$8</x:f>
        <x:v>0.5468927703376875</x:v>
      </x:c>
      <x:c r="O71" s="30" t="n">
        <x:f>J71/(Inputs!$B$8-H71)</x:f>
        <x:v>0.5719785592458787</x:v>
      </x:c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 ht="15" hidden="0" customHeight="1">
      <x:c r="A72" s="18" t="n">
        <x:v>403.15</x:v>
      </x:c>
      <x:c r="B72" s="50" t="n">
        <x:v>0.045</x:v>
      </x:c>
      <x:c r="C72" s="18" t="n">
        <x:f>VLOOKUP(A72,Inputs!$A$13:$F$15,2,FALSE)</x:f>
        <x:v>76.2</x:v>
      </x:c>
      <x:c r="D72" s="18" t="n">
        <x:f>VLOOKUP(A72,Inputs!$A$13:$F$15,3,FALSE)</x:f>
        <x:v>38.05</x:v>
      </x:c>
      <x:c r="E72" s="18" t="n">
        <x:f>VLOOKUP(A72,Inputs!$A$13:$F$15,4,FALSE)</x:f>
        <x:v>1.97</x:v>
      </x:c>
      <x:c r="F72" s="18" t="n">
        <x:f>VLOOKUP(A72,Inputs!$A$13:$F$15,5,FALSE)</x:f>
        <x:v>2.6</x:v>
      </x:c>
      <x:c r="G72" s="18" t="n">
        <x:f>VLOOKUP(A72,Inputs!$A$13:$F$15,6,FALSE)</x:f>
        <x:v>3.3</x:v>
      </x:c>
      <x:c r="H72" s="30" t="n">
        <x:f>Inputs!$B$8*EXP(-(C72+E72)*B72)</x:f>
        <x:v>0.059338151272074986</x:v>
      </x:c>
      <x:c r="I72" s="30" t="n">
        <x:f>C72*Inputs!$B$8/(D72+F72-C72-E72)*(EXP(-(C72+E72)*B72)-EXP(-(D72+F72)*B72))</x:f>
        <x:v>0.531551246008708</x:v>
      </x:c>
      <x:c r="J72" s="30" t="n">
        <x:f>D72*C72*Inputs!$B$8/(D72+F72-C72-E72)*((EXP(-(C72+E72)*B72)-EXP(-G72*B72))/(G72-C72-E72)-(EXP(-(D72+F72)*B72)-EXP(-G72*B72))/(G72-D72-F72))</x:f>
        <x:v>1.1844724348948956</x:v>
      </x:c>
      <x:c r="K72" s="30" t="n">
        <x:f>E72*Inputs!$B$8/(C72+E72)*(1-EXP(-(C72+E72)*B72))</x:f>
        <x:v>0.048907558423871206</x:v>
      </x:c>
      <x:c r="L72" s="30" t="n">
        <x:f>Inputs!$B$8-H72-I72-J72-K72</x:f>
        <x:v>0.17573060940045024</x:v>
      </x:c>
      <x:c r="M72" s="30" t="n">
        <x:f>(Inputs!$B$8-H72)/Inputs!$B$8</x:f>
        <x:v>0.9703309243639625</x:v>
      </x:c>
      <x:c r="N72" s="30" t="n">
        <x:f>J72/Inputs!$B$8</x:f>
        <x:v>0.5922362174474478</x:v>
      </x:c>
      <x:c r="O72" s="30" t="n">
        <x:f>J72/(Inputs!$B$8-H72)</x:f>
        <x:v>0.6103445768624244</x:v>
      </x:c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 ht="15" hidden="0" customHeight="1">
      <x:c r="A73" s="18" t="n">
        <x:v>403.15</x:v>
      </x:c>
      <x:c r="B73" s="50" t="n">
        <x:v>0.05</x:v>
      </x:c>
      <x:c r="C73" s="18" t="n">
        <x:f>VLOOKUP(A73,Inputs!$A$13:$F$15,2,FALSE)</x:f>
        <x:v>76.2</x:v>
      </x:c>
      <x:c r="D73" s="18" t="n">
        <x:f>VLOOKUP(A73,Inputs!$A$13:$F$15,3,FALSE)</x:f>
        <x:v>38.05</x:v>
      </x:c>
      <x:c r="E73" s="18" t="n">
        <x:f>VLOOKUP(A73,Inputs!$A$13:$F$15,4,FALSE)</x:f>
        <x:v>1.97</x:v>
      </x:c>
      <x:c r="F73" s="18" t="n">
        <x:f>VLOOKUP(A73,Inputs!$A$13:$F$15,5,FALSE)</x:f>
        <x:v>2.6</x:v>
      </x:c>
      <x:c r="G73" s="18" t="n">
        <x:f>VLOOKUP(A73,Inputs!$A$13:$F$15,6,FALSE)</x:f>
        <x:v>3.3</x:v>
      </x:c>
      <x:c r="H73" s="30" t="n">
        <x:f>Inputs!$B$8*EXP(-(C73+E73)*B73)</x:f>
        <x:v>0.04014116874023449</x:v>
      </x:c>
      <x:c r="I73" s="30" t="n">
        <x:f>C73*Inputs!$B$8/(D73+F73-C73-E73)*(EXP(-(C73+E73)*B73)-EXP(-(D73+F73)*B73))</x:f>
        <x:v>0.4506076766502564</x:v>
      </x:c>
      <x:c r="J73" s="30" t="n">
        <x:f>D73*C73*Inputs!$B$8/(D73+F73-C73-E73)*((EXP(-(C73+E73)*B73)-EXP(-G73*B73))/(G73-C73-E73)-(EXP(-(D73+F73)*B73)-EXP(-G73*B73))/(G73-D73-F73))</x:f>
        <x:v>1.2575852715751819</x:v>
      </x:c>
      <x:c r="K73" s="30" t="n">
        <x:f>E73*Inputs!$B$8/(C73+E73)*(1-EXP(-(C73+E73)*B73))</x:f>
        <x:v>0.04939135087094458</x:v>
      </x:c>
      <x:c r="L73" s="30" t="n">
        <x:f>Inputs!$B$8-H73-I73-J73-K73</x:f>
        <x:v>0.20227453216338265</x:v>
      </x:c>
      <x:c r="M73" s="30" t="n">
        <x:f>(Inputs!$B$8-H73)/Inputs!$B$8</x:f>
        <x:v>0.9799294156298828</x:v>
      </x:c>
      <x:c r="N73" s="30" t="n">
        <x:f>J73/Inputs!$B$8</x:f>
        <x:v>0.6287926357875909</x:v>
      </x:c>
      <x:c r="O73" s="30" t="n">
        <x:f>J73/(Inputs!$B$8-H73)</x:f>
        <x:v>0.6416713548530566</x:v>
      </x:c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 ht="15" hidden="0" customHeight="1">
      <x:c r="A74" s="18" t="n">
        <x:v>403.15</x:v>
      </x:c>
      <x:c r="B74" s="50" t="n">
        <x:v>0.055</x:v>
      </x:c>
      <x:c r="C74" s="18" t="n">
        <x:f>VLOOKUP(A74,Inputs!$A$13:$F$15,2,FALSE)</x:f>
        <x:v>76.2</x:v>
      </x:c>
      <x:c r="D74" s="18" t="n">
        <x:f>VLOOKUP(A74,Inputs!$A$13:$F$15,3,FALSE)</x:f>
        <x:v>38.05</x:v>
      </x:c>
      <x:c r="E74" s="18" t="n">
        <x:f>VLOOKUP(A74,Inputs!$A$13:$F$15,4,FALSE)</x:f>
        <x:v>1.97</x:v>
      </x:c>
      <x:c r="F74" s="18" t="n">
        <x:f>VLOOKUP(A74,Inputs!$A$13:$F$15,5,FALSE)</x:f>
        <x:v>2.6</x:v>
      </x:c>
      <x:c r="G74" s="18" t="n">
        <x:f>VLOOKUP(A74,Inputs!$A$13:$F$15,6,FALSE)</x:f>
        <x:v>3.3</x:v>
      </x:c>
      <x:c r="H74" s="30" t="n">
        <x:f>Inputs!$B$8*EXP(-(C74+E74)*B74)</x:f>
        <x:v>0.027154762885076185</x:v>
      </x:c>
      <x:c r="I74" s="30" t="n">
        <x:f>C74*Inputs!$B$8/(D74+F74-C74-E74)*(EXP(-(C74+E74)*B74)-EXP(-(D74+F74)*B74))</x:f>
        <x:v>0.3791093561336227</x:v>
      </x:c>
      <x:c r="J74" s="30" t="n">
        <x:f>D74*C74*Inputs!$B$8/(D74+F74-C74-E74)*((EXP(-(C74+E74)*B74)-EXP(-G74*B74))/(G74-C74-E74)-(EXP(-(D74+F74)*B74)-EXP(-G74*B74))/(G74-D74-F74))</x:f>
        <x:v>1.3151151704589221</x:v>
      </x:c>
      <x:c r="K74" s="30" t="n">
        <x:f>E74*Inputs!$B$8/(C74+E74)*(1-EXP(-(C74+E74)*B74))</x:f>
        <x:v>0.049718627569609826</x:v>
      </x:c>
      <x:c r="L74" s="30" t="n">
        <x:f>Inputs!$B$8-H74-I74-J74-K74</x:f>
        <x:v>0.2289020829527692</x:v>
      </x:c>
      <x:c r="M74" s="30" t="n">
        <x:f>(Inputs!$B$8-H74)/Inputs!$B$8</x:f>
        <x:v>0.9864226185574619</x:v>
      </x:c>
      <x:c r="N74" s="30" t="n">
        <x:f>J74/Inputs!$B$8</x:f>
        <x:v>0.6575575852294611</x:v>
      </x:c>
      <x:c r="O74" s="30" t="n">
        <x:f>J74/(Inputs!$B$8-H74)</x:f>
        <x:v>0.6666083814978503</x:v>
      </x:c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 ht="15" hidden="0" customHeight="1">
      <x:c r="A75" s="18" t="n">
        <x:v>403.15</x:v>
      </x:c>
      <x:c r="B75" s="50" t="n">
        <x:v>0.06</x:v>
      </x:c>
      <x:c r="C75" s="18" t="n">
        <x:f>VLOOKUP(A75,Inputs!$A$13:$F$15,2,FALSE)</x:f>
        <x:v>76.2</x:v>
      </x:c>
      <x:c r="D75" s="18" t="n">
        <x:f>VLOOKUP(A75,Inputs!$A$13:$F$15,3,FALSE)</x:f>
        <x:v>38.05</x:v>
      </x:c>
      <x:c r="E75" s="18" t="n">
        <x:f>VLOOKUP(A75,Inputs!$A$13:$F$15,4,FALSE)</x:f>
        <x:v>1.97</x:v>
      </x:c>
      <x:c r="F75" s="18" t="n">
        <x:f>VLOOKUP(A75,Inputs!$A$13:$F$15,5,FALSE)</x:f>
        <x:v>2.6</x:v>
      </x:c>
      <x:c r="G75" s="18" t="n">
        <x:f>VLOOKUP(A75,Inputs!$A$13:$F$15,6,FALSE)</x:f>
        <x:v>3.3</x:v>
      </x:c>
      <x:c r="H75" s="30" t="n">
        <x:f>Inputs!$B$8*EXP(-(C75+E75)*B75)</x:f>
        <x:v>0.018369698005469788</x:v>
      </x:c>
      <x:c r="I75" s="30" t="n">
        <x:f>C75*Inputs!$B$8/(D75+F75-C75-E75)*(EXP(-(C75+E75)*B75)-EXP(-(D75+F75)*B75))</x:f>
        <x:v>0.317079763657337</x:v>
      </x:c>
      <x:c r="J75" s="30" t="n">
        <x:f>D75*C75*Inputs!$B$8/(D75+F75-C75-E75)*((EXP(-(C75+E75)*B75)-EXP(-G75*B75))/(G75-C75-E75)-(EXP(-(D75+F75)*B75)-EXP(-G75*B75))/(G75-D75-F75))</x:f>
        <x:v>1.3591136319258543</x:v>
      </x:c>
      <x:c r="K75" s="30" t="n">
        <x:f>E75*Inputs!$B$8/(C75+E75)*(1-EXP(-(C75+E75)*B75))</x:f>
        <x:v>0.049940024241131184</x:v>
      </x:c>
      <x:c r="L75" s="30" t="n">
        <x:f>Inputs!$B$8-H75-I75-J75-K75</x:f>
        <x:v>0.2554968821702077</x:v>
      </x:c>
      <x:c r="M75" s="30" t="n">
        <x:f>(Inputs!$B$8-H75)/Inputs!$B$8</x:f>
        <x:v>0.9908151509972651</x:v>
      </x:c>
      <x:c r="N75" s="30" t="n">
        <x:f>J75/Inputs!$B$8</x:f>
        <x:v>0.6795568159629272</x:v>
      </x:c>
      <x:c r="O75" s="30" t="n">
        <x:f>J75/(Inputs!$B$8-H75)</x:f>
        <x:v>0.685856302539325</x:v>
      </x:c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 ht="15" hidden="0" customHeight="1">
      <x:c r="A76" s="18" t="n">
        <x:v>403.15</x:v>
      </x:c>
      <x:c r="B76" s="50" t="n">
        <x:v>0.065</x:v>
      </x:c>
      <x:c r="C76" s="18" t="n">
        <x:f>VLOOKUP(A76,Inputs!$A$13:$F$15,2,FALSE)</x:f>
        <x:v>76.2</x:v>
      </x:c>
      <x:c r="D76" s="18" t="n">
        <x:f>VLOOKUP(A76,Inputs!$A$13:$F$15,3,FALSE)</x:f>
        <x:v>38.05</x:v>
      </x:c>
      <x:c r="E76" s="18" t="n">
        <x:f>VLOOKUP(A76,Inputs!$A$13:$F$15,4,FALSE)</x:f>
        <x:v>1.97</x:v>
      </x:c>
      <x:c r="F76" s="18" t="n">
        <x:f>VLOOKUP(A76,Inputs!$A$13:$F$15,5,FALSE)</x:f>
        <x:v>2.6</x:v>
      </x:c>
      <x:c r="G76" s="18" t="n">
        <x:f>VLOOKUP(A76,Inputs!$A$13:$F$15,6,FALSE)</x:f>
        <x:v>3.3</x:v>
      </x:c>
      <x:c r="H76" s="30" t="n">
        <x:f>Inputs!$B$8*EXP(-(C76+E76)*B76)</x:f>
        <x:v>0.012426763078001876</x:v>
      </x:c>
      <x:c r="I76" s="30" t="n">
        <x:f>C76*Inputs!$B$8/(D76+F76-C76-E76)*(EXP(-(C76+E76)*B76)-EXP(-(D76+F76)*B76))</x:f>
        <x:v>0.2639684398290401</x:v>
      </x:c>
      <x:c r="J76" s="30" t="n">
        <x:f>D76*C76*Inputs!$B$8/(D76+F76-C76-E76)*((EXP(-(C76+E76)*B76)-EXP(-G76*B76))/(G76-C76-E76)-(EXP(-(D76+F76)*B76)-EXP(-G76*B76))/(G76-D76-F76))</x:f>
        <x:v>1.391543008955525</x:v>
      </x:c>
      <x:c r="K76" s="30" t="n">
        <x:f>E76*Inputs!$B$8/(C76+E76)*(1-EXP(-(C76+E76)*B76))</x:f>
        <x:v>0.05008979502029341</x:v>
      </x:c>
      <x:c r="L76" s="30" t="n">
        <x:f>Inputs!$B$8-H76-I76-J76-K76</x:f>
        <x:v>0.2819719931171396</x:v>
      </x:c>
      <x:c r="M76" s="30" t="n">
        <x:f>(Inputs!$B$8-H76)/Inputs!$B$8</x:f>
        <x:v>0.993786618460999</x:v>
      </x:c>
      <x:c r="N76" s="30" t="n">
        <x:f>J76/Inputs!$B$8</x:f>
        <x:v>0.6957715044777625</x:v>
      </x:c>
      <x:c r="O76" s="30" t="n">
        <x:f>J76/(Inputs!$B$8-H76)</x:f>
        <x:v>0.7001216272717078</x:v>
      </x:c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 ht="15" hidden="0" customHeight="1">
      <x:c r="A77" s="18" t="n">
        <x:v>403.15</x:v>
      </x:c>
      <x:c r="B77" s="50" t="n">
        <x:v>0.07</x:v>
      </x:c>
      <x:c r="C77" s="18" t="n">
        <x:f>VLOOKUP(A77,Inputs!$A$13:$F$15,2,FALSE)</x:f>
        <x:v>76.2</x:v>
      </x:c>
      <x:c r="D77" s="18" t="n">
        <x:f>VLOOKUP(A77,Inputs!$A$13:$F$15,3,FALSE)</x:f>
        <x:v>38.05</x:v>
      </x:c>
      <x:c r="E77" s="18" t="n">
        <x:f>VLOOKUP(A77,Inputs!$A$13:$F$15,4,FALSE)</x:f>
        <x:v>1.97</x:v>
      </x:c>
      <x:c r="F77" s="18" t="n">
        <x:f>VLOOKUP(A77,Inputs!$A$13:$F$15,5,FALSE)</x:f>
        <x:v>2.6</x:v>
      </x:c>
      <x:c r="G77" s="18" t="n">
        <x:f>VLOOKUP(A77,Inputs!$A$13:$F$15,6,FALSE)</x:f>
        <x:v>3.3</x:v>
      </x:c>
      <x:c r="H77" s="30" t="n">
        <x:f>Inputs!$B$8*EXP(-(C77+E77)*B77)</x:f>
        <x:v>0.008406476826718055</x:v>
      </x:c>
      <x:c r="I77" s="30" t="n">
        <x:f>C77*Inputs!$B$8/(D77+F77-C77-E77)*(EXP(-(C77+E77)*B77)-EXP(-(D77+F77)*B77))</x:f>
        <x:v>0.21894083137261533</x:v>
      </x:c>
      <x:c r="J77" s="30" t="n">
        <x:f>D77*C77*Inputs!$B$8/(D77+F77-C77-E77)*((EXP(-(C77+E77)*B77)-EXP(-G77*B77))/(G77-C77-E77)-(EXP(-(D77+F77)*B77)-EXP(-G77*B77))/(G77-D77-F77))</x:f>
        <x:v>1.4141992700783503</x:v>
      </x:c>
      <x:c r="K77" s="30" t="n">
        <x:f>E77*Inputs!$B$8/(C77+E77)*(1-EXP(-(C77+E77)*B77))</x:f>
        <x:v>0.050191112199710446</x:v>
      </x:c>
      <x:c r="L77" s="30" t="n">
        <x:f>Inputs!$B$8-H77-I77-J77-K77</x:f>
        <x:v>0.30826230952260586</x:v>
      </x:c>
      <x:c r="M77" s="30" t="n">
        <x:f>(Inputs!$B$8-H77)/Inputs!$B$8</x:f>
        <x:v>0.995796761586641</x:v>
      </x:c>
      <x:c r="N77" s="30" t="n">
        <x:f>J77/Inputs!$B$8</x:f>
        <x:v>0.7070996350391752</x:v>
      </x:c>
      <x:c r="O77" s="30" t="n">
        <x:f>J77/(Inputs!$B$8-H77)</x:f>
        <x:v>0.7100842885977319</x:v>
      </x:c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 ht="15" hidden="0" customHeight="1">
      <x:c r="A78" s="18" t="n">
        <x:v>403.15</x:v>
      </x:c>
      <x:c r="B78" s="50" t="n">
        <x:v>0.075</x:v>
      </x:c>
      <x:c r="C78" s="18" t="n">
        <x:f>VLOOKUP(A78,Inputs!$A$13:$F$15,2,FALSE)</x:f>
        <x:v>76.2</x:v>
      </x:c>
      <x:c r="D78" s="18" t="n">
        <x:f>VLOOKUP(A78,Inputs!$A$13:$F$15,3,FALSE)</x:f>
        <x:v>38.05</x:v>
      </x:c>
      <x:c r="E78" s="18" t="n">
        <x:f>VLOOKUP(A78,Inputs!$A$13:$F$15,4,FALSE)</x:f>
        <x:v>1.97</x:v>
      </x:c>
      <x:c r="F78" s="18" t="n">
        <x:f>VLOOKUP(A78,Inputs!$A$13:$F$15,5,FALSE)</x:f>
        <x:v>2.6</x:v>
      </x:c>
      <x:c r="G78" s="18" t="n">
        <x:f>VLOOKUP(A78,Inputs!$A$13:$F$15,6,FALSE)</x:f>
        <x:v>3.3</x:v>
      </x:c>
      <x:c r="H78" s="30" t="n">
        <x:f>Inputs!$B$8*EXP(-(C78+E78)*B78)</x:f>
        <x:v>0.005686827067882806</x:v>
      </x:c>
      <x:c r="I78" s="30" t="n">
        <x:f>C78*Inputs!$B$8/(D78+F78-C78-E78)*(EXP(-(C78+E78)*B78)-EXP(-(D78+F78)*B78))</x:f>
        <x:v>0.18105520710969716</x:v>
      </x:c>
      <x:c r="J78" s="30" t="n">
        <x:f>D78*C78*Inputs!$B$8/(D78+F78-C78-E78)*((EXP(-(C78+E78)*B78)-EXP(-G78*B78))/(G78-C78-E78)-(EXP(-(D78+F78)*B78)-EXP(-G78*B78))/(G78-D78-F78))</x:f>
        <x:v>1.4286792669870398</x:v>
      </x:c>
      <x:c r="K78" s="30" t="n">
        <x:f>E78*Inputs!$B$8/(C78+E78)*(1-EXP(-(C78+E78)*B78))</x:f>
        <x:v>0.050259651409444425</x:v>
      </x:c>
      <x:c r="L78" s="30" t="n">
        <x:f>Inputs!$B$8-H78-I78-J78-K78</x:f>
        <x:v>0.3343190474259359</x:v>
      </x:c>
      <x:c r="M78" s="30" t="n">
        <x:f>(Inputs!$B$8-H78)/Inputs!$B$8</x:f>
        <x:v>0.9971565864660586</x:v>
      </x:c>
      <x:c r="N78" s="30" t="n">
        <x:f>J78/Inputs!$B$8</x:f>
        <x:v>0.7143396334935199</x:v>
      </x:c>
      <x:c r="O78" s="30" t="n">
        <x:f>J78/(Inputs!$B$8-H78)</x:f>
        <x:v>0.7163765883803193</x:v>
      </x:c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 ht="15" hidden="0" customHeight="1">
      <x:c r="A79" s="18" t="n">
        <x:v>403.15</x:v>
      </x:c>
      <x:c r="B79" s="50" t="n">
        <x:v>0.08</x:v>
      </x:c>
      <x:c r="C79" s="18" t="n">
        <x:f>VLOOKUP(A79,Inputs!$A$13:$F$15,2,FALSE)</x:f>
        <x:v>76.2</x:v>
      </x:c>
      <x:c r="D79" s="18" t="n">
        <x:f>VLOOKUP(A79,Inputs!$A$13:$F$15,3,FALSE)</x:f>
        <x:v>38.05</x:v>
      </x:c>
      <x:c r="E79" s="18" t="n">
        <x:f>VLOOKUP(A79,Inputs!$A$13:$F$15,4,FALSE)</x:f>
        <x:v>1.97</x:v>
      </x:c>
      <x:c r="F79" s="18" t="n">
        <x:f>VLOOKUP(A79,Inputs!$A$13:$F$15,5,FALSE)</x:f>
        <x:v>2.6</x:v>
      </x:c>
      <x:c r="G79" s="18" t="n">
        <x:f>VLOOKUP(A79,Inputs!$A$13:$F$15,6,FALSE)</x:f>
        <x:v>3.3</x:v>
      </x:c>
      <x:c r="H79" s="30" t="n">
        <x:f>Inputs!$B$8*EXP(-(C79+E79)*B79)</x:f>
        <x:v>0.003847033991364761</x:v>
      </x:c>
      <x:c r="I79" s="30" t="n">
        <x:f>C79*Inputs!$B$8/(D79+F79-C79-E79)*(EXP(-(C79+E79)*B79)-EXP(-(D79+F79)*B79))</x:f>
        <x:v>0.14936670350130324</x:v>
      </x:c>
      <x:c r="J79" s="30" t="n">
        <x:f>D79*C79*Inputs!$B$8/(D79+F79-C79-E79)*((EXP(-(C79+E79)*B79)-EXP(-G79*B79))/(G79-C79-E79)-(EXP(-(D79+F79)*B79)-EXP(-G79*B79))/(G79-D79-F79))</x:f>
        <x:v>1.4363745189347286</x:v>
      </x:c>
      <x:c r="K79" s="30" t="n">
        <x:f>E79*Inputs!$B$8/(C79+E79)*(1-EXP(-(C79+E79)*B79))</x:f>
        <x:v>0.050306016925124875</x:v>
      </x:c>
      <x:c r="L79" s="30" t="n">
        <x:f>Inputs!$B$8-H79-I79-J79-K79</x:f>
        <x:v>0.3601057266474785</x:v>
      </x:c>
      <x:c r="M79" s="30" t="n">
        <x:f>(Inputs!$B$8-H79)/Inputs!$B$8</x:f>
        <x:v>0.9980764830043176</x:v>
      </x:c>
      <x:c r="N79" s="30" t="n">
        <x:f>J79/Inputs!$B$8</x:f>
        <x:v>0.7181872594673643</x:v>
      </x:c>
      <x:c r="O79" s="30" t="n">
        <x:f>J79/(Inputs!$B$8-H79)</x:f>
        <x:v>0.7195713672218219</x:v>
      </x:c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 ht="15" hidden="0" customHeight="1">
      <x:c r="A80" s="18" t="n">
        <x:v>403.15</x:v>
      </x:c>
      <x:c r="B80" s="50" t="n">
        <x:v>0.085</x:v>
      </x:c>
      <x:c r="C80" s="18" t="n">
        <x:f>VLOOKUP(A80,Inputs!$A$13:$F$15,2,FALSE)</x:f>
        <x:v>76.2</x:v>
      </x:c>
      <x:c r="D80" s="18" t="n">
        <x:f>VLOOKUP(A80,Inputs!$A$13:$F$15,3,FALSE)</x:f>
        <x:v>38.05</x:v>
      </x:c>
      <x:c r="E80" s="18" t="n">
        <x:f>VLOOKUP(A80,Inputs!$A$13:$F$15,4,FALSE)</x:f>
        <x:v>1.97</x:v>
      </x:c>
      <x:c r="F80" s="18" t="n">
        <x:f>VLOOKUP(A80,Inputs!$A$13:$F$15,5,FALSE)</x:f>
        <x:v>2.6</x:v>
      </x:c>
      <x:c r="G80" s="18" t="n">
        <x:f>VLOOKUP(A80,Inputs!$A$13:$F$15,6,FALSE)</x:f>
        <x:v>3.3</x:v>
      </x:c>
      <x:c r="H80" s="30" t="n">
        <x:f>Inputs!$B$8*EXP(-(C80+E80)*B80)</x:f>
        <x:v>0.0026024477892600604</x:v>
      </x:c>
      <x:c r="I80" s="30" t="n">
        <x:f>C80*Inputs!$B$8/(D80+F80-C80-E80)*(EXP(-(C80+E80)*B80)-EXP(-(D80+F80)*B80))</x:f>
        <x:v>0.12298495033189376</x:v>
      </x:c>
      <x:c r="J80" s="30" t="n">
        <x:f>D80*C80*Inputs!$B$8/(D80+F80-C80-E80)*((EXP(-(C80+E80)*B80)-EXP(-G80*B80))/(G80-C80-E80)-(EXP(-(D80+F80)*B80)-EXP(-G80*B80))/(G80-D80-F80))</x:f>
        <x:v>1.4384800057121525</x:v>
      </x:c>
      <x:c r="K80" s="30" t="n">
        <x:f>E80*Inputs!$B$8/(C80+E80)*(1-EXP(-(C80+E80)*B80))</x:f>
        <x:v>0.05033738234431569</x:v>
      </x:c>
      <x:c r="L80" s="30" t="n">
        <x:f>Inputs!$B$8-H80-I80-J80-K80</x:f>
        <x:v>0.3855952138223779</x:v>
      </x:c>
      <x:c r="M80" s="30" t="n">
        <x:f>(Inputs!$B$8-H80)/Inputs!$B$8</x:f>
        <x:v>0.99869877610537</x:v>
      </x:c>
      <x:c r="N80" s="30" t="n">
        <x:f>J80/Inputs!$B$8</x:f>
        <x:v>0.7192400028560763</x:v>
      </x:c>
      <x:c r="O80" s="30" t="n">
        <x:f>J80/(Inputs!$B$8-H80)</x:f>
        <x:v>0.7201771145258631</x:v>
      </x:c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 ht="15" hidden="0" customHeight="1">
      <x:c r="A81" s="18" t="n">
        <x:v>403.15</x:v>
      </x:c>
      <x:c r="B81" s="50" t="n">
        <x:v>0.09</x:v>
      </x:c>
      <x:c r="C81" s="18" t="n">
        <x:f>VLOOKUP(A81,Inputs!$A$13:$F$15,2,FALSE)</x:f>
        <x:v>76.2</x:v>
      </x:c>
      <x:c r="D81" s="18" t="n">
        <x:f>VLOOKUP(A81,Inputs!$A$13:$F$15,3,FALSE)</x:f>
        <x:v>38.05</x:v>
      </x:c>
      <x:c r="E81" s="18" t="n">
        <x:f>VLOOKUP(A81,Inputs!$A$13:$F$15,4,FALSE)</x:f>
        <x:v>1.97</x:v>
      </x:c>
      <x:c r="F81" s="18" t="n">
        <x:f>VLOOKUP(A81,Inputs!$A$13:$F$15,5,FALSE)</x:f>
        <x:v>2.6</x:v>
      </x:c>
      <x:c r="G81" s="18" t="n">
        <x:f>VLOOKUP(A81,Inputs!$A$13:$F$15,6,FALSE)</x:f>
        <x:v>3.3</x:v>
      </x:c>
      <x:c r="H81" s="30" t="n">
        <x:f>Inputs!$B$8*EXP(-(C81+E81)*B81)</x:f>
        <x:v>0.001760508098193827</x:v>
      </x:c>
      <x:c r="I81" s="30" t="n">
        <x:f>C81*Inputs!$B$8/(D81+F81-C81-E81)*(EXP(-(C81+E81)*B81)-EXP(-(D81+F81)*B81))</x:f>
        <x:v>0.10110264096135892</x:v>
      </x:c>
      <x:c r="J81" s="30" t="n">
        <x:f>D81*C81*Inputs!$B$8/(D81+F81-C81-E81)*((EXP(-(C81+E81)*B81)-EXP(-G81*B81))/(G81-C81-E81)-(EXP(-(D81+F81)*B81)-EXP(-G81*B81))/(G81-D81-F81))</x:f>
        <x:v>1.4360107229325891</x:v>
      </x:c>
      <x:c r="K81" s="30" t="n">
        <x:f>E81*Inputs!$B$8/(C81+E81)*(1-EXP(-(C81+E81)*B81))</x:f>
        <x:v>0.05035860047392297</x:v>
      </x:c>
      <x:c r="L81" s="30" t="n">
        <x:f>Inputs!$B$8-H81-I81-J81-K81</x:f>
        <x:v>0.41076752753393525</x:v>
      </x:c>
      <x:c r="M81" s="30" t="n">
        <x:f>(Inputs!$B$8-H81)/Inputs!$B$8</x:f>
        <x:v>0.9991197459509031</x:v>
      </x:c>
      <x:c r="N81" s="30" t="n">
        <x:f>J81/Inputs!$B$8</x:f>
        <x:v>0.7180053614662946</x:v>
      </x:c>
      <x:c r="O81" s="30" t="n">
        <x:f>J81/(Inputs!$B$8-H81)</x:f>
        <x:v>0.7186379454275919</x:v>
      </x:c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 ht="15" hidden="0" customHeight="1">
      <x:c r="A82" s="18" t="n">
        <x:v>403.15</x:v>
      </x:c>
      <x:c r="B82" s="50" t="n">
        <x:v>0.095</x:v>
      </x:c>
      <x:c r="C82" s="18" t="n">
        <x:f>VLOOKUP(A82,Inputs!$A$13:$F$15,2,FALSE)</x:f>
        <x:v>76.2</x:v>
      </x:c>
      <x:c r="D82" s="18" t="n">
        <x:f>VLOOKUP(A82,Inputs!$A$13:$F$15,3,FALSE)</x:f>
        <x:v>38.05</x:v>
      </x:c>
      <x:c r="E82" s="18" t="n">
        <x:f>VLOOKUP(A82,Inputs!$A$13:$F$15,4,FALSE)</x:f>
        <x:v>1.97</x:v>
      </x:c>
      <x:c r="F82" s="18" t="n">
        <x:f>VLOOKUP(A82,Inputs!$A$13:$F$15,5,FALSE)</x:f>
        <x:v>2.6</x:v>
      </x:c>
      <x:c r="G82" s="18" t="n">
        <x:f>VLOOKUP(A82,Inputs!$A$13:$F$15,6,FALSE)</x:f>
        <x:v>3.3</x:v>
      </x:c>
      <x:c r="H82" s="30" t="n">
        <x:f>Inputs!$B$8*EXP(-(C82+E82)*B82)</x:f>
        <x:v>0.0011909513714729615</x:v>
      </x:c>
      <x:c r="I82" s="30" t="n">
        <x:f>C82*Inputs!$B$8/(D82+F82-C82-E82)*(EXP(-(C82+E82)*B82)-EXP(-(D82+F82)*B82))</x:f>
        <x:v>0.08300636223205825</x:v>
      </x:c>
      <x:c r="J82" s="30" t="n">
        <x:f>D82*C82*Inputs!$B$8/(D82+F82-C82-E82)*((EXP(-(C82+E82)*B82)-EXP(-G82*B82))/(G82-C82-E82)-(EXP(-(D82+F82)*B82)-EXP(-G82*B82))/(G82-D82-F82))</x:f>
        <x:v>1.4298215373720558</x:v>
      </x:c>
      <x:c r="K82" s="30" t="n">
        <x:f>E82*Inputs!$B$8/(C82+E82)*(1-EXP(-(C82+E82)*B82))</x:f>
        <x:v>0.05037295414862733</x:v>
      </x:c>
      <x:c r="L82" s="30" t="n">
        <x:f>Inputs!$B$8-H82-I82-J82-K82</x:f>
        <x:v>0.4356081948757857</x:v>
      </x:c>
      <x:c r="M82" s="30" t="n">
        <x:f>(Inputs!$B$8-H82)/Inputs!$B$8</x:f>
        <x:v>0.9994045243142635</x:v>
      </x:c>
      <x:c r="N82" s="30" t="n">
        <x:f>J82/Inputs!$B$8</x:f>
        <x:v>0.7149107686860279</x:v>
      </x:c>
      <x:c r="O82" s="30" t="n">
        <x:f>J82/(Inputs!$B$8-H82)</x:f>
        <x:v>0.7153367343184286</x:v>
      </x:c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 ht="15" hidden="0" customHeight="1">
      <x:c r="A83" s="18" t="n">
        <x:v>403.15</x:v>
      </x:c>
      <x:c r="B83" s="50" t="n">
        <x:v>0.1</x:v>
      </x:c>
      <x:c r="C83" s="18" t="n">
        <x:f>VLOOKUP(A83,Inputs!$A$13:$F$15,2,FALSE)</x:f>
        <x:v>76.2</x:v>
      </x:c>
      <x:c r="D83" s="18" t="n">
        <x:f>VLOOKUP(A83,Inputs!$A$13:$F$15,3,FALSE)</x:f>
        <x:v>38.05</x:v>
      </x:c>
      <x:c r="E83" s="18" t="n">
        <x:f>VLOOKUP(A83,Inputs!$A$13:$F$15,4,FALSE)</x:f>
        <x:v>1.97</x:v>
      </x:c>
      <x:c r="F83" s="18" t="n">
        <x:f>VLOOKUP(A83,Inputs!$A$13:$F$15,5,FALSE)</x:f>
        <x:v>2.6</x:v>
      </x:c>
      <x:c r="G83" s="18" t="n">
        <x:f>VLOOKUP(A83,Inputs!$A$13:$F$15,6,FALSE)</x:f>
        <x:v>3.3</x:v>
      </x:c>
      <x:c r="H83" s="30" t="n">
        <x:f>Inputs!$B$8*EXP(-(C83+E83)*B83)</x:f>
        <x:v>0.0008056567139159893</x:v>
      </x:c>
      <x:c r="I83" s="30" t="n">
        <x:f>C83*Inputs!$B$8/(D83+F83-C83-E83)*(EXP(-(C83+E83)*B83)-EXP(-(D83+F83)*B83))</x:f>
        <x:v>0.06807698623924961</x:v>
      </x:c>
      <x:c r="J83" s="30" t="n">
        <x:f>D83*C83*Inputs!$B$8/(D83+F83-C83-E83)*((EXP(-(C83+E83)*B83)-EXP(-G83*B83))/(G83-C83-E83)-(EXP(-(D83+F83)*B83)-EXP(-G83*B83))/(G83-D83-F83))</x:f>
        <x:v>1.4206276825744728</x:v>
      </x:c>
      <x:c r="K83" s="30" t="n">
        <x:f>E83*Inputs!$B$8/(C83+E83)*(1-EXP(-(C83+E83)*B83))</x:f>
        <x:v>0.05038266414575394</x:v>
      </x:c>
      <x:c r="L83" s="30" t="n">
        <x:f>Inputs!$B$8-H83-I83-J83-K83</x:f>
        <x:v>0.46010701032660756</x:v>
      </x:c>
      <x:c r="M83" s="30" t="n">
        <x:f>(Inputs!$B$8-H83)/Inputs!$B$8</x:f>
        <x:v>0.999597171643042</x:v>
      </x:c>
      <x:c r="N83" s="30" t="n">
        <x:f>J83/Inputs!$B$8</x:f>
        <x:v>0.7103138412872364</x:v>
      </x:c>
      <x:c r="O83" s="30" t="n">
        <x:f>J83/(Inputs!$B$8-H83)</x:f>
        <x:v>0.7106000911544104</x:v>
      </x:c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 ht="15" hidden="0" customHeight="1">
      <x:c r="A84" s="18" t="n">
        <x:v>403.15</x:v>
      </x:c>
      <x:c r="B84" s="50" t="n">
        <x:v>0.105</x:v>
      </x:c>
      <x:c r="C84" s="18" t="n">
        <x:f>VLOOKUP(A84,Inputs!$A$13:$F$15,2,FALSE)</x:f>
        <x:v>76.2</x:v>
      </x:c>
      <x:c r="D84" s="18" t="n">
        <x:f>VLOOKUP(A84,Inputs!$A$13:$F$15,3,FALSE)</x:f>
        <x:v>38.05</x:v>
      </x:c>
      <x:c r="E84" s="18" t="n">
        <x:f>VLOOKUP(A84,Inputs!$A$13:$F$15,4,FALSE)</x:f>
        <x:v>1.97</x:v>
      </x:c>
      <x:c r="F84" s="18" t="n">
        <x:f>VLOOKUP(A84,Inputs!$A$13:$F$15,5,FALSE)</x:f>
        <x:v>2.6</x:v>
      </x:c>
      <x:c r="G84" s="18" t="n">
        <x:f>VLOOKUP(A84,Inputs!$A$13:$F$15,6,FALSE)</x:f>
        <x:v>3.3</x:v>
      </x:c>
      <x:c r="H84" s="30" t="n">
        <x:f>Inputs!$B$8*EXP(-(C84+E84)*B84)</x:f>
        <x:v>0.00054501195953545</x:v>
      </x:c>
      <x:c r="I84" s="30" t="n">
        <x:f>C84*Inputs!$B$8/(D84+F84-C84-E84)*(EXP(-(C84+E84)*B84)-EXP(-(D84+F84)*B84))</x:f>
        <x:v>0.05578427632055354</x:v>
      </x:c>
      <x:c r="J84" s="30" t="n">
        <x:f>D84*C84*Inputs!$B$8/(D84+F84-C84-E84)*((EXP(-(C84+E84)*B84)-EXP(-G84*B84))/(G84-C84-E84)-(EXP(-(D84+F84)*B84)-EXP(-G84*B84))/(G84-D84-F84))</x:f>
        <x:v>1.4090243882638365</x:v>
      </x:c>
      <x:c r="K84" s="30" t="n">
        <x:f>E84*Inputs!$B$8/(C84+E84)*(1-EXP(-(C84+E84)*B84))</x:f>
        <x:v>0.050389232780346876</x:v>
      </x:c>
      <x:c r="L84" s="30" t="n">
        <x:f>Inputs!$B$8-H84-I84-J84-K84</x:f>
        <x:v>0.48425709067572764</x:v>
      </x:c>
      <x:c r="M84" s="30" t="n">
        <x:f>(Inputs!$B$8-H84)/Inputs!$B$8</x:f>
        <x:v>0.9997274940202323</x:v>
      </x:c>
      <x:c r="N84" s="30" t="n">
        <x:f>J84/Inputs!$B$8</x:f>
        <x:v>0.7045121941319182</x:v>
      </x:c>
      <x:c r="O84" s="30" t="n">
        <x:f>J84/(Inputs!$B$8-H84)</x:f>
        <x:v>0.7047042302486286</x:v>
      </x:c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 ht="15" hidden="0" customHeight="1">
      <x:c r="A85" s="18" t="n">
        <x:v>403.15</x:v>
      </x:c>
      <x:c r="B85" s="50" t="n">
        <x:v>0.11</x:v>
      </x:c>
      <x:c r="C85" s="18" t="n">
        <x:f>VLOOKUP(A85,Inputs!$A$13:$F$15,2,FALSE)</x:f>
        <x:v>76.2</x:v>
      </x:c>
      <x:c r="D85" s="18" t="n">
        <x:f>VLOOKUP(A85,Inputs!$A$13:$F$15,3,FALSE)</x:f>
        <x:v>38.05</x:v>
      </x:c>
      <x:c r="E85" s="18" t="n">
        <x:f>VLOOKUP(A85,Inputs!$A$13:$F$15,4,FALSE)</x:f>
        <x:v>1.97</x:v>
      </x:c>
      <x:c r="F85" s="18" t="n">
        <x:f>VLOOKUP(A85,Inputs!$A$13:$F$15,5,FALSE)</x:f>
        <x:v>2.6</x:v>
      </x:c>
      <x:c r="G85" s="18" t="n">
        <x:f>VLOOKUP(A85,Inputs!$A$13:$F$15,6,FALSE)</x:f>
        <x:v>3.3</x:v>
      </x:c>
      <x:c r="H85" s="30" t="n">
        <x:f>Inputs!$B$8*EXP(-(C85+E85)*B85)</x:f>
        <x:v>0.00036869057367235557</x:v>
      </x:c>
      <x:c r="I85" s="30" t="n">
        <x:f>C85*Inputs!$B$8/(D85+F85-C85-E85)*(EXP(-(C85+E85)*B85)-EXP(-(D85+F85)*B85))</x:f>
        <x:v>0.04567861991367698</x:v>
      </x:c>
      <x:c r="J85" s="30" t="n">
        <x:f>D85*C85*Inputs!$B$8/(D85+F85-C85-E85)*((EXP(-(C85+E85)*B85)-EXP(-G85*B85))/(G85-C85-E85)-(EXP(-(D85+F85)*B85)-EXP(-G85*B85))/(G85-D85-F85))</x:f>
        <x:v>1.3955048634524772</x:v>
      </x:c>
      <x:c r="K85" s="30" t="n">
        <x:f>E85*Inputs!$B$8/(C85+E85)*(1-EXP(-(C85+E85)*B85))</x:f>
        <x:v>0.05039367634092191</x:v>
      </x:c>
      <x:c r="L85" s="30" t="n">
        <x:f>Inputs!$B$8-H85-I85-J85-K85</x:f>
        <x:v>0.5080541497192516</x:v>
      </x:c>
      <x:c r="M85" s="30" t="n">
        <x:f>(Inputs!$B$8-H85)/Inputs!$B$8</x:f>
        <x:v>0.9998156547131638</x:v>
      </x:c>
      <x:c r="N85" s="30" t="n">
        <x:f>J85/Inputs!$B$8</x:f>
        <x:v>0.6977524317262386</x:v>
      </x:c>
      <x:c r="O85" s="30" t="n">
        <x:f>J85/(Inputs!$B$8-H85)</x:f>
        <x:v>0.6978810828146276</x:v>
      </x:c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 ht="15" hidden="0" customHeight="1">
      <x:c r="A86" s="18" t="n">
        <x:v>403.15</x:v>
      </x:c>
      <x:c r="B86" s="50" t="n">
        <x:v>0.115</x:v>
      </x:c>
      <x:c r="C86" s="18" t="n">
        <x:f>VLOOKUP(A86,Inputs!$A$13:$F$15,2,FALSE)</x:f>
        <x:v>76.2</x:v>
      </x:c>
      <x:c r="D86" s="18" t="n">
        <x:f>VLOOKUP(A86,Inputs!$A$13:$F$15,3,FALSE)</x:f>
        <x:v>38.05</x:v>
      </x:c>
      <x:c r="E86" s="18" t="n">
        <x:f>VLOOKUP(A86,Inputs!$A$13:$F$15,4,FALSE)</x:f>
        <x:v>1.97</x:v>
      </x:c>
      <x:c r="F86" s="18" t="n">
        <x:f>VLOOKUP(A86,Inputs!$A$13:$F$15,5,FALSE)</x:f>
        <x:v>2.6</x:v>
      </x:c>
      <x:c r="G86" s="18" t="n">
        <x:f>VLOOKUP(A86,Inputs!$A$13:$F$15,6,FALSE)</x:f>
        <x:v>3.3</x:v>
      </x:c>
      <x:c r="H86" s="30" t="n">
        <x:f>Inputs!$B$8*EXP(-(C86+E86)*B86)</x:f>
        <x:v>0.0002494123968044943</x:v>
      </x:c>
      <x:c r="I86" s="30" t="n">
        <x:f>C86*Inputs!$B$8/(D86+F86-C86-E86)*(EXP(-(C86+E86)*B86)-EXP(-(D86+F86)*B86))</x:f>
        <x:v>0.0373816671982291</x:v>
      </x:c>
      <x:c r="J86" s="30" t="n">
        <x:f>D86*C86*Inputs!$B$8/(D86+F86-C86-E86)*((EXP(-(C86+E86)*B86)-EXP(-G86*B86))/(G86-C86-E86)-(EXP(-(D86+F86)*B86)-EXP(-G86*B86))/(G86-D86-F86))</x:f>
        <x:v>1.380476300540209</x:v>
      </x:c>
      <x:c r="K86" s="30" t="n">
        <x:f>E86*Inputs!$B$8/(C86+E86)*(1-EXP(-(C86+E86)*B86))</x:f>
        <x:v>0.05039668232798126</x:v>
      </x:c>
      <x:c r="L86" s="30" t="n">
        <x:f>Inputs!$B$8-H86-I86-J86-K86</x:f>
        <x:v>0.5314959375367764</x:v>
      </x:c>
      <x:c r="M86" s="30" t="n">
        <x:f>(Inputs!$B$8-H86)/Inputs!$B$8</x:f>
        <x:v>0.9998752938015978</x:v>
      </x:c>
      <x:c r="N86" s="30" t="n">
        <x:f>J86/Inputs!$B$8</x:f>
        <x:v>0.6902381502701045</x:v>
      </x:c>
      <x:c r="O86" s="30" t="n">
        <x:f>J86/(Inputs!$B$8-H86)</x:f>
        <x:v>0.6903242379814881</x:v>
      </x:c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 ht="15" hidden="0" customHeight="1">
      <x:c r="A87" s="18" t="n">
        <x:v>403.15</x:v>
      </x:c>
      <x:c r="B87" s="50" t="n">
        <x:v>0.12</x:v>
      </x:c>
      <x:c r="C87" s="18" t="n">
        <x:f>VLOOKUP(A87,Inputs!$A$13:$F$15,2,FALSE)</x:f>
        <x:v>76.2</x:v>
      </x:c>
      <x:c r="D87" s="18" t="n">
        <x:f>VLOOKUP(A87,Inputs!$A$13:$F$15,3,FALSE)</x:f>
        <x:v>38.05</x:v>
      </x:c>
      <x:c r="E87" s="18" t="n">
        <x:f>VLOOKUP(A87,Inputs!$A$13:$F$15,4,FALSE)</x:f>
        <x:v>1.97</x:v>
      </x:c>
      <x:c r="F87" s="18" t="n">
        <x:f>VLOOKUP(A87,Inputs!$A$13:$F$15,5,FALSE)</x:f>
        <x:v>2.6</x:v>
      </x:c>
      <x:c r="G87" s="18" t="n">
        <x:f>VLOOKUP(A87,Inputs!$A$13:$F$15,6,FALSE)</x:f>
        <x:v>3.3</x:v>
      </x:c>
      <x:c r="H87" s="30" t="n">
        <x:f>Inputs!$B$8*EXP(-(C87+E87)*B87)</x:f>
        <x:v>0.00016872290240608036</x:v>
      </x:c>
      <x:c r="I87" s="30" t="n">
        <x:f>C87*Inputs!$B$8/(D87+F87-C87-E87)*(EXP(-(C87+E87)*B87)-EXP(-(D87+F87)*B87))</x:f>
        <x:v>0.03057692269801293</x:v>
      </x:c>
      <x:c r="J87" s="30" t="n">
        <x:f>D87*C87*Inputs!$B$8/(D87+F87-C87-E87)*((EXP(-(C87+E87)*B87)-EXP(-G87*B87))/(G87-C87-E87)-(EXP(-(D87+F87)*B87)-EXP(-G87*B87))/(G87-D87-F87))</x:f>
        <x:v>1.3642738344907492</x:v>
      </x:c>
      <x:c r="K87" s="30" t="n">
        <x:f>E87*Inputs!$B$8/(C87+E87)*(1-EXP(-(C87+E87)*B87))</x:f>
        <x:v>0.05039871582297889</x:v>
      </x:c>
      <x:c r="L87" s="30" t="n">
        <x:f>Inputs!$B$8-H87-I87-J87-K87</x:f>
        <x:v>0.554581804085853</x:v>
      </x:c>
      <x:c r="M87" s="30" t="n">
        <x:f>(Inputs!$B$8-H87)/Inputs!$B$8</x:f>
        <x:v>0.999915638548797</x:v>
      </x:c>
      <x:c r="N87" s="30" t="n">
        <x:f>J87/Inputs!$B$8</x:f>
        <x:v>0.6821369172453746</x:v>
      </x:c>
      <x:c r="O87" s="30" t="n">
        <x:f>J87/(Inputs!$B$8-H87)</x:f>
        <x:v>0.6821944681607114</x:v>
      </x:c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 ht="15" hidden="0" customHeight="1">
      <x:c r="A88" s="18" t="n">
        <x:v>403.15</x:v>
      </x:c>
      <x:c r="B88" s="50" t="n">
        <x:v>0.125</x:v>
      </x:c>
      <x:c r="C88" s="18" t="n">
        <x:f>VLOOKUP(A88,Inputs!$A$13:$F$15,2,FALSE)</x:f>
        <x:v>76.2</x:v>
      </x:c>
      <x:c r="D88" s="18" t="n">
        <x:f>VLOOKUP(A88,Inputs!$A$13:$F$15,3,FALSE)</x:f>
        <x:v>38.05</x:v>
      </x:c>
      <x:c r="E88" s="18" t="n">
        <x:f>VLOOKUP(A88,Inputs!$A$13:$F$15,4,FALSE)</x:f>
        <x:v>1.97</x:v>
      </x:c>
      <x:c r="F88" s="18" t="n">
        <x:f>VLOOKUP(A88,Inputs!$A$13:$F$15,5,FALSE)</x:f>
        <x:v>2.6</x:v>
      </x:c>
      <x:c r="G88" s="18" t="n">
        <x:f>VLOOKUP(A88,Inputs!$A$13:$F$15,6,FALSE)</x:f>
        <x:v>3.3</x:v>
      </x:c>
      <x:c r="H88" s="30" t="n">
        <x:f>Inputs!$B$8*EXP(-(C88+E88)*B88)</x:f>
        <x:v>0.00011413794246420834</x:v>
      </x:c>
      <x:c r="I88" s="30" t="n">
        <x:f>C88*Inputs!$B$8/(D88+F88-C88-E88)*(EXP(-(C88+E88)*B88)-EXP(-(D88+F88)*B88))</x:f>
        <x:v>0.025000870746156353</x:v>
      </x:c>
      <x:c r="J88" s="30" t="n">
        <x:f>D88*C88*Inputs!$B$8/(D88+F88-C88-E88)*((EXP(-(C88+E88)*B88)-EXP(-G88*B88))/(G88-C88-E88)-(EXP(-(D88+F88)*B88)-EXP(-G88*B88))/(G88-D88-F88))</x:f>
        <x:v>1.3471725423785106</x:v>
      </x:c>
      <x:c r="K88" s="30" t="n">
        <x:f>E88*Inputs!$B$8/(C88+E88)*(1-EXP(-(C88+E88)*B88))</x:f>
        <x:v>0.05040009144497051</x:v>
      </x:c>
      <x:c r="L88" s="30" t="n">
        <x:f>Inputs!$B$8-H88-I88-J88-K88</x:f>
        <x:v>0.5773123574878982</x:v>
      </x:c>
      <x:c r="M88" s="30" t="n">
        <x:f>(Inputs!$B$8-H88)/Inputs!$B$8</x:f>
        <x:v>0.9999429310287679</x:v>
      </x:c>
      <x:c r="N88" s="30" t="n">
        <x:f>J88/Inputs!$B$8</x:f>
        <x:v>0.6735862711892553</x:v>
      </x:c>
      <x:c r="O88" s="30" t="n">
        <x:f>J88/(Inputs!$B$8-H88)</x:f>
        <x:v>0.6736247142586946</x:v>
      </x:c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 ht="15" hidden="0" customHeight="1">
      <x:c r="A89" s="18" t="n">
        <x:v>403.15</x:v>
      </x:c>
      <x:c r="B89" s="50" t="n">
        <x:v>0.13</x:v>
      </x:c>
      <x:c r="C89" s="18" t="n">
        <x:f>VLOOKUP(A89,Inputs!$A$13:$F$15,2,FALSE)</x:f>
        <x:v>76.2</x:v>
      </x:c>
      <x:c r="D89" s="18" t="n">
        <x:f>VLOOKUP(A89,Inputs!$A$13:$F$15,3,FALSE)</x:f>
        <x:v>38.05</x:v>
      </x:c>
      <x:c r="E89" s="18" t="n">
        <x:f>VLOOKUP(A89,Inputs!$A$13:$F$15,4,FALSE)</x:f>
        <x:v>1.97</x:v>
      </x:c>
      <x:c r="F89" s="18" t="n">
        <x:f>VLOOKUP(A89,Inputs!$A$13:$F$15,5,FALSE)</x:f>
        <x:v>2.6</x:v>
      </x:c>
      <x:c r="G89" s="18" t="n">
        <x:f>VLOOKUP(A89,Inputs!$A$13:$F$15,6,FALSE)</x:f>
        <x:v>3.3</x:v>
      </x:c>
      <x:c r="H89" s="30" t="n">
        <x:f>Inputs!$B$8*EXP(-(C89+E89)*B89)</x:f>
        <x:v>0.00007721222029839532</x:v>
      </x:c>
      <x:c r="I89" s="30" t="n">
        <x:f>C89*Inputs!$B$8/(D89+F89-C89-E89)*(EXP(-(C89+E89)*B89)-EXP(-(D89+F89)*B89))</x:f>
        <x:v>0.020434923738932714</x:v>
      </x:c>
      <x:c r="J89" s="30" t="n">
        <x:f>D89*C89*Inputs!$B$8/(D89+F89-C89-E89)*((EXP(-(C89+E89)*B89)-EXP(-G89*B89))/(G89-C89-E89)-(EXP(-(D89+F89)*B89)-EXP(-G89*B89))/(G89-D89-F89))</x:f>
        <x:v>1.3293976469987316</x:v>
      </x:c>
      <x:c r="K89" s="30" t="n">
        <x:f>E89*Inputs!$B$8/(C89+E89)*(1-EXP(-(C89+E89)*B89))</x:f>
        <x:v>0.05040102202796485</x:v>
      </x:c>
      <x:c r="L89" s="30" t="n">
        <x:f>Inputs!$B$8-H89-I89-J89-K89</x:f>
        <x:v>0.5996891950140725</x:v>
      </x:c>
      <x:c r="M89" s="30" t="n">
        <x:f>(Inputs!$B$8-H89)/Inputs!$B$8</x:f>
        <x:v>0.9999613938898508</x:v>
      </x:c>
      <x:c r="N89" s="30" t="n">
        <x:f>J89/Inputs!$B$8</x:f>
        <x:v>0.6646988234993658</x:v>
      </x:c>
      <x:c r="O89" s="30" t="n">
        <x:f>J89/(Inputs!$B$8-H89)</x:f>
        <x:v>0.6647244859260883</x:v>
      </x:c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 ht="15" hidden="0" customHeight="1">
      <x:c r="A90" s="18" t="n">
        <x:v>403.15</x:v>
      </x:c>
      <x:c r="B90" s="50" t="n">
        <x:v>0.135</x:v>
      </x:c>
      <x:c r="C90" s="18" t="n">
        <x:f>VLOOKUP(A90,Inputs!$A$13:$F$15,2,FALSE)</x:f>
        <x:v>76.2</x:v>
      </x:c>
      <x:c r="D90" s="18" t="n">
        <x:f>VLOOKUP(A90,Inputs!$A$13:$F$15,3,FALSE)</x:f>
        <x:v>38.05</x:v>
      </x:c>
      <x:c r="E90" s="18" t="n">
        <x:f>VLOOKUP(A90,Inputs!$A$13:$F$15,4,FALSE)</x:f>
        <x:v>1.97</x:v>
      </x:c>
      <x:c r="F90" s="18" t="n">
        <x:f>VLOOKUP(A90,Inputs!$A$13:$F$15,5,FALSE)</x:f>
        <x:v>2.6</x:v>
      </x:c>
      <x:c r="G90" s="18" t="n">
        <x:f>VLOOKUP(A90,Inputs!$A$13:$F$15,6,FALSE)</x:f>
        <x:v>3.3</x:v>
      </x:c>
      <x:c r="H90" s="30" t="n">
        <x:f>Inputs!$B$8*EXP(-(C90+E90)*B90)</x:f>
        <x:v>0.00005223264792316915</x:v>
      </x:c>
      <x:c r="I90" s="30" t="n">
        <x:f>C90*Inputs!$B$8/(D90+F90-C90-E90)*(EXP(-(C90+E90)*B90)-EXP(-(D90+F90)*B90))</x:f>
        <x:v>0.016698303723735902</x:v>
      </x:c>
      <x:c r="J90" s="30" t="n">
        <x:f>D90*C90*Inputs!$B$8/(D90+F90-C90-E90)*((EXP(-(C90+E90)*B90)-EXP(-G90*B90))/(G90-C90-E90)-(EXP(-(D90+F90)*B90)-EXP(-G90*B90))/(G90-D90-F90))</x:f>
        <x:v>1.31113312177494</x:v>
      </x:c>
      <x:c r="K90" s="30" t="n">
        <x:f>E90*Inputs!$B$8/(C90+E90)*(1-EXP(-(C90+E90)*B90))</x:f>
        <x:v>0.05040165155025702</x:v>
      </x:c>
      <x:c r="L90" s="30" t="n">
        <x:f>Inputs!$B$8-H90-I90-J90-K90</x:f>
        <x:v>0.6217146903031441</x:v>
      </x:c>
      <x:c r="M90" s="30" t="n">
        <x:f>(Inputs!$B$8-H90)/Inputs!$B$8</x:f>
        <x:v>0.9999738836760385</x:v>
      </x:c>
      <x:c r="N90" s="30" t="n">
        <x:f>J90/Inputs!$B$8</x:f>
        <x:v>0.65556656088747</x:v>
      </x:c>
      <x:c r="O90" s="30" t="n">
        <x:f>J90/(Inputs!$B$8-H90)</x:f>
        <x:v>0.6555836823233014</x:v>
      </x:c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 ht="15" hidden="0" customHeight="1">
      <x:c r="A91" s="18" t="n">
        <x:v>403.15</x:v>
      </x:c>
      <x:c r="B91" s="50" t="n">
        <x:v>0.14</x:v>
      </x:c>
      <x:c r="C91" s="18" t="n">
        <x:f>VLOOKUP(A91,Inputs!$A$13:$F$15,2,FALSE)</x:f>
        <x:v>76.2</x:v>
      </x:c>
      <x:c r="D91" s="18" t="n">
        <x:f>VLOOKUP(A91,Inputs!$A$13:$F$15,3,FALSE)</x:f>
        <x:v>38.05</x:v>
      </x:c>
      <x:c r="E91" s="18" t="n">
        <x:f>VLOOKUP(A91,Inputs!$A$13:$F$15,4,FALSE)</x:f>
        <x:v>1.97</x:v>
      </x:c>
      <x:c r="F91" s="18" t="n">
        <x:f>VLOOKUP(A91,Inputs!$A$13:$F$15,5,FALSE)</x:f>
        <x:v>2.6</x:v>
      </x:c>
      <x:c r="G91" s="18" t="n">
        <x:f>VLOOKUP(A91,Inputs!$A$13:$F$15,6,FALSE)</x:f>
        <x:v>3.3</x:v>
      </x:c>
      <x:c r="H91" s="30" t="n">
        <x:f>Inputs!$B$8*EXP(-(C91+E91)*B91)</x:f>
        <x:v>0.00003533442631907383</x:v>
      </x:c>
      <x:c r="I91" s="30" t="n">
        <x:f>C91*Inputs!$B$8/(D91+F91-C91-E91)*(EXP(-(C91+E91)*B91)-EXP(-(D91+F91)*B91))</x:f>
        <x:v>0.013641862812316856</x:v>
      </x:c>
      <x:c r="J91" s="30" t="n">
        <x:f>D91*C91*Inputs!$B$8/(D91+F91-C91-E91)*((EXP(-(C91+E91)*B91)-EXP(-G91*B91))/(G91-C91-E91)-(EXP(-(D91+F91)*B91)-EXP(-G91*B91))/(G91-D91-F91))</x:f>
        <x:v>1.2925289009782766</x:v>
      </x:c>
      <x:c r="K91" s="30" t="n">
        <x:f>E91*Inputs!$B$8/(C91+E91)*(1-EXP(-(C91+E91)*B91))</x:f>
        <x:v>0.05040207741051748</x:v>
      </x:c>
      <x:c r="L91" s="30" t="n">
        <x:f>Inputs!$B$8-H91-I91-J91-K91</x:f>
        <x:v>0.6433918243725699</x:v>
      </x:c>
      <x:c r="M91" s="30" t="n">
        <x:f>(Inputs!$B$8-H91)/Inputs!$B$8</x:f>
        <x:v>0.9999823327868405</x:v>
      </x:c>
      <x:c r="N91" s="30" t="n">
        <x:f>J91/Inputs!$B$8</x:f>
        <x:v>0.6462644504891383</x:v>
      </x:c>
      <x:c r="O91" s="30" t="n">
        <x:f>J91/(Inputs!$B$8-H91)</x:f>
        <x:v>0.6462758683826648</x:v>
      </x:c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 ht="15" hidden="0" customHeight="1">
      <x:c r="A92" s="18" t="n">
        <x:v>403.15</x:v>
      </x:c>
      <x:c r="B92" s="50" t="n">
        <x:v>0.145</x:v>
      </x:c>
      <x:c r="C92" s="18" t="n">
        <x:f>VLOOKUP(A92,Inputs!$A$13:$F$15,2,FALSE)</x:f>
        <x:v>76.2</x:v>
      </x:c>
      <x:c r="D92" s="18" t="n">
        <x:f>VLOOKUP(A92,Inputs!$A$13:$F$15,3,FALSE)</x:f>
        <x:v>38.05</x:v>
      </x:c>
      <x:c r="E92" s="18" t="n">
        <x:f>VLOOKUP(A92,Inputs!$A$13:$F$15,4,FALSE)</x:f>
        <x:v>1.97</x:v>
      </x:c>
      <x:c r="F92" s="18" t="n">
        <x:f>VLOOKUP(A92,Inputs!$A$13:$F$15,5,FALSE)</x:f>
        <x:v>2.6</x:v>
      </x:c>
      <x:c r="G92" s="18" t="n">
        <x:f>VLOOKUP(A92,Inputs!$A$13:$F$15,6,FALSE)</x:f>
        <x:v>3.3</x:v>
      </x:c>
      <x:c r="H92" s="30" t="n">
        <x:f>Inputs!$B$8*EXP(-(C92+E92)*B92)</x:f>
        <x:v>0.00002390308998185492</x:v>
      </x:c>
      <x:c r="I92" s="30" t="n">
        <x:f>C92*Inputs!$B$8/(D92+F92-C92-E92)*(EXP(-(C92+E92)*B92)-EXP(-(D92+F92)*B92))</x:f>
        <x:v>0.011142789587423369</x:v>
      </x:c>
      <x:c r="J92" s="30" t="n">
        <x:f>D92*C92*Inputs!$B$8/(D92+F92-C92-E92)*((EXP(-(C92+E92)*B92)-EXP(-G92*B92))/(G92-C92-E92)-(EXP(-(D92+F92)*B92)-EXP(-G92*B92))/(G92-D92-F92))</x:f>
        <x:v>1.2737068908768703</x:v>
      </x:c>
      <x:c r="K92" s="30" t="n">
        <x:f>E92*Inputs!$B$8/(C92+E92)*(1-EXP(-(C92+E92)*B92))</x:f>
        <x:v>0.050402365497156654</x:v>
      </x:c>
      <x:c r="L92" s="30" t="n">
        <x:f>Inputs!$B$8-H92-I92-J92-K92</x:f>
        <x:v>0.6647240509485679</x:v>
      </x:c>
      <x:c r="M92" s="30" t="n">
        <x:f>(Inputs!$B$8-H92)/Inputs!$B$8</x:f>
        <x:v>0.9999880484550091</x:v>
      </x:c>
      <x:c r="N92" s="30" t="n">
        <x:f>J92/Inputs!$B$8</x:f>
        <x:v>0.6368534454384351</x:v>
      </x:c>
      <x:c r="O92" s="30" t="n">
        <x:f>J92/(Inputs!$B$8-H92)</x:f>
        <x:v>0.6368610569120098</x:v>
      </x:c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 ht="15" hidden="0" customHeight="1">
      <x:c r="A93" s="18" t="n">
        <x:v>403.15</x:v>
      </x:c>
      <x:c r="B93" s="50" t="n">
        <x:v>0.15</x:v>
      </x:c>
      <x:c r="C93" s="18" t="n">
        <x:f>VLOOKUP(A93,Inputs!$A$13:$F$15,2,FALSE)</x:f>
        <x:v>76.2</x:v>
      </x:c>
      <x:c r="D93" s="18" t="n">
        <x:f>VLOOKUP(A93,Inputs!$A$13:$F$15,3,FALSE)</x:f>
        <x:v>38.05</x:v>
      </x:c>
      <x:c r="E93" s="18" t="n">
        <x:f>VLOOKUP(A93,Inputs!$A$13:$F$15,4,FALSE)</x:f>
        <x:v>1.97</x:v>
      </x:c>
      <x:c r="F93" s="18" t="n">
        <x:f>VLOOKUP(A93,Inputs!$A$13:$F$15,5,FALSE)</x:f>
        <x:v>2.6</x:v>
      </x:c>
      <x:c r="G93" s="18" t="n">
        <x:f>VLOOKUP(A93,Inputs!$A$13:$F$15,6,FALSE)</x:f>
        <x:v>3.3</x:v>
      </x:c>
      <x:c r="H93" s="30" t="n">
        <x:f>Inputs!$B$8*EXP(-(C93+E93)*B93)</x:f>
        <x:v>0.000016170001050002278</x:v>
      </x:c>
      <x:c r="I93" s="30" t="n">
        <x:f>C93*Inputs!$B$8/(D93+F93-C93-E93)*(EXP(-(C93+E93)*B93)-EXP(-(D93+F93)*B93))</x:f>
        <x:v>0.009100119616929546</x:v>
      </x:c>
      <x:c r="J93" s="30" t="n">
        <x:f>D93*C93*Inputs!$B$8/(D93+F93-C93-E93)*((EXP(-(C93+E93)*B93)-EXP(-G93*B93))/(G93-C93-E93)-(EXP(-(D93+F93)*B93)-EXP(-G93*B93))/(G93-D93-F93))</x:f>
        <x:v>1.254765961158238</x:v>
      </x:c>
      <x:c r="K93" s="30" t="n">
        <x:f>E93*Inputs!$B$8/(C93+E93)*(1-EXP(-(C93+E93)*B93))</x:f>
        <x:v>0.05040256038247322</x:v>
      </x:c>
      <x:c r="L93" s="30" t="n">
        <x:f>Inputs!$B$8-H93-I93-J93-K93</x:f>
        <x:v>0.6857151888413092</x:v>
      </x:c>
      <x:c r="M93" s="30" t="n">
        <x:f>(Inputs!$B$8-H93)/Inputs!$B$8</x:f>
        <x:v>0.999991914999475</x:v>
      </x:c>
      <x:c r="N93" s="30" t="n">
        <x:f>J93/Inputs!$B$8</x:f>
        <x:v>0.627382980579119</x:v>
      </x:c>
      <x:c r="O93" s="30" t="n">
        <x:f>J93/(Inputs!$B$8-H93)</x:f>
        <x:v>0.627388053011857</x:v>
      </x:c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 ht="15" hidden="0" customHeight="1">
      <x:c r="A94" s="18" t="n">
        <x:v>403.15</x:v>
      </x:c>
      <x:c r="B94" s="50" t="n">
        <x:v>0.155</x:v>
      </x:c>
      <x:c r="C94" s="18" t="n">
        <x:f>VLOOKUP(A94,Inputs!$A$13:$F$15,2,FALSE)</x:f>
        <x:v>76.2</x:v>
      </x:c>
      <x:c r="D94" s="18" t="n">
        <x:f>VLOOKUP(A94,Inputs!$A$13:$F$15,3,FALSE)</x:f>
        <x:v>38.05</x:v>
      </x:c>
      <x:c r="E94" s="18" t="n">
        <x:f>VLOOKUP(A94,Inputs!$A$13:$F$15,4,FALSE)</x:f>
        <x:v>1.97</x:v>
      </x:c>
      <x:c r="F94" s="18" t="n">
        <x:f>VLOOKUP(A94,Inputs!$A$13:$F$15,5,FALSE)</x:f>
        <x:v>2.6</x:v>
      </x:c>
      <x:c r="G94" s="18" t="n">
        <x:f>VLOOKUP(A94,Inputs!$A$13:$F$15,6,FALSE)</x:f>
        <x:v>3.3</x:v>
      </x:c>
      <x:c r="H94" s="30" t="n">
        <x:f>Inputs!$B$8*EXP(-(C94+E94)*B94)</x:f>
        <x:v>0.000010938708516579175</x:v>
      </x:c>
      <x:c r="I94" s="30" t="n">
        <x:f>C94*Inputs!$B$8/(D94+F94-C94-E94)*(EXP(-(C94+E94)*B94)-EXP(-(D94+F94)*B94))</x:f>
        <x:v>0.007430957022472488</x:v>
      </x:c>
      <x:c r="J94" s="30" t="n">
        <x:f>D94*C94*Inputs!$B$8/(D94+F94-C94-E94)*((EXP(-(C94+E94)*B94)-EXP(-G94*B94))/(G94-C94-E94)-(EXP(-(D94+F94)*B94)-EXP(-G94*B94))/(G94-D94-F94))</x:f>
        <x:v>1.2357860763112398</x:v>
      </x:c>
      <x:c r="K94" s="30" t="n">
        <x:f>E94*Inputs!$B$8/(C94+E94)*(1-EXP(-(C94+E94)*B94))</x:f>
        <x:v>0.05040269221880801</x:v>
      </x:c>
      <x:c r="L94" s="30" t="n">
        <x:f>Inputs!$B$8-H94-I94-J94-K94</x:f>
        <x:v>0.7063693357389632</x:v>
      </x:c>
      <x:c r="M94" s="30" t="n">
        <x:f>(Inputs!$B$8-H94)/Inputs!$B$8</x:f>
        <x:v>0.9999945306457417</x:v>
      </x:c>
      <x:c r="N94" s="30" t="n">
        <x:f>J94/Inputs!$B$8</x:f>
        <x:v>0.6178930381556199</x:v>
      </x:c>
      <x:c r="O94" s="30" t="n">
        <x:f>J94/(Inputs!$B$8-H94)</x:f>
        <x:v>0.6178964176500229</x:v>
      </x:c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 ht="15" hidden="0" customHeight="1">
      <x:c r="A95" s="18" t="n">
        <x:v>403.15</x:v>
      </x:c>
      <x:c r="B95" s="50" t="n">
        <x:v>0.16</x:v>
      </x:c>
      <x:c r="C95" s="18" t="n">
        <x:f>VLOOKUP(A95,Inputs!$A$13:$F$15,2,FALSE)</x:f>
        <x:v>76.2</x:v>
      </x:c>
      <x:c r="D95" s="18" t="n">
        <x:f>VLOOKUP(A95,Inputs!$A$13:$F$15,3,FALSE)</x:f>
        <x:v>38.05</x:v>
      </x:c>
      <x:c r="E95" s="18" t="n">
        <x:f>VLOOKUP(A95,Inputs!$A$13:$F$15,4,FALSE)</x:f>
        <x:v>1.97</x:v>
      </x:c>
      <x:c r="F95" s="18" t="n">
        <x:f>VLOOKUP(A95,Inputs!$A$13:$F$15,5,FALSE)</x:f>
        <x:v>2.6</x:v>
      </x:c>
      <x:c r="G95" s="18" t="n">
        <x:f>VLOOKUP(A95,Inputs!$A$13:$F$15,6,FALSE)</x:f>
        <x:v>3.3</x:v>
      </x:c>
      <x:c r="H95" s="30" t="n">
        <x:f>Inputs!$B$8*EXP(-(C95+E95)*B95)</x:f>
        <x:v>0.00000739983526535794</x:v>
      </x:c>
      <x:c r="I95" s="30" t="n">
        <x:f>C95*Inputs!$B$8/(D95+F95-C95-E95)*(EXP(-(C95+E95)*B95)-EXP(-(D95+F95)*B95))</x:f>
        <x:v>0.00606731342169611</x:v>
      </x:c>
      <x:c r="J95" s="30" t="n">
        <x:f>D95*C95*Inputs!$B$8/(D95+F95-C95-E95)*((EXP(-(C95+E95)*B95)-EXP(-G95*B95))/(G95-C95-E95)-(EXP(-(D95+F95)*B95)-EXP(-G95*B95))/(G95-D95-F95))</x:f>
        <x:v>1.216831706300687</x:v>
      </x:c>
      <x:c r="K95" s="30" t="n">
        <x:f>E95*Inputs!$B$8/(C95+E95)*(1-EXP(-(C95+E95)*B95))</x:f>
        <x:v>0.050402781403665435</x:v>
      </x:c>
      <x:c r="L95" s="30" t="n">
        <x:f>Inputs!$B$8-H95-I95-J95-K95</x:f>
        <x:v>0.7266907990386859</x:v>
      </x:c>
      <x:c r="M95" s="30" t="n">
        <x:f>(Inputs!$B$8-H95)/Inputs!$B$8</x:f>
        <x:v>0.9999963000823673</x:v>
      </x:c>
      <x:c r="N95" s="30" t="n">
        <x:f>J95/Inputs!$B$8</x:f>
        <x:v>0.6084158531503435</x:v>
      </x:c>
      <x:c r="O95" s="30" t="n">
        <x:f>J95/(Inputs!$B$8-H95)</x:f>
        <x:v>0.6084181042472155</x:v>
      </x:c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 ht="15" hidden="0" customHeight="1">
      <x:c r="A96" s="18" t="n">
        <x:v>403.15</x:v>
      </x:c>
      <x:c r="B96" s="50" t="n">
        <x:v>0.165</x:v>
      </x:c>
      <x:c r="C96" s="18" t="n">
        <x:f>VLOOKUP(A96,Inputs!$A$13:$F$15,2,FALSE)</x:f>
        <x:v>76.2</x:v>
      </x:c>
      <x:c r="D96" s="18" t="n">
        <x:f>VLOOKUP(A96,Inputs!$A$13:$F$15,3,FALSE)</x:f>
        <x:v>38.05</x:v>
      </x:c>
      <x:c r="E96" s="18" t="n">
        <x:f>VLOOKUP(A96,Inputs!$A$13:$F$15,4,FALSE)</x:f>
        <x:v>1.97</x:v>
      </x:c>
      <x:c r="F96" s="18" t="n">
        <x:f>VLOOKUP(A96,Inputs!$A$13:$F$15,5,FALSE)</x:f>
        <x:v>2.6</x:v>
      </x:c>
      <x:c r="G96" s="18" t="n">
        <x:f>VLOOKUP(A96,Inputs!$A$13:$F$15,6,FALSE)</x:f>
        <x:v>3.3</x:v>
      </x:c>
      <x:c r="H96" s="30" t="n">
        <x:f>Inputs!$B$8*EXP(-(C96+E96)*B96)</x:f>
        <x:v>0.000005005852553017764</x:v>
      </x:c>
      <x:c r="I96" s="30" t="n">
        <x:f>C96*Inputs!$B$8/(D96+F96-C96-E96)*(EXP(-(C96+E96)*B96)-EXP(-(D96+F96)*B96))</x:f>
        <x:v>0.004953475790885219</x:v>
      </x:c>
      <x:c r="J96" s="30" t="n">
        <x:f>D96*C96*Inputs!$B$8/(D96+F96-C96-E96)*((EXP(-(C96+E96)*B96)-EXP(-G96*B96))/(G96-C96-E96)-(EXP(-(D96+F96)*B96)-EXP(-G96*B96))/(G96-D96-F96))</x:f>
        <x:v>1.197954636340629</x:v>
      </x:c>
      <x:c r="K96" s="30" t="n">
        <x:f>E96*Inputs!$B$8/(C96+E96)*(1-EXP(-(C96+E96)*B96))</x:f>
        <x:v>0.05040284173558233</x:v>
      </x:c>
      <x:c r="L96" s="30" t="n">
        <x:f>Inputs!$B$8-H96-I96-J96-K96</x:f>
        <x:v>0.7466840402803506</x:v>
      </x:c>
      <x:c r="M96" s="30" t="n">
        <x:f>(Inputs!$B$8-H96)/Inputs!$B$8</x:f>
        <x:v>0.9999974970737235</x:v>
      </x:c>
      <x:c r="N96" s="30" t="n">
        <x:f>J96/Inputs!$B$8</x:f>
        <x:v>0.5989773181703145</x:v>
      </x:c>
      <x:c r="O96" s="30" t="n">
        <x:f>J96/(Inputs!$B$8-H96)</x:f>
        <x:v>0.5989788173701356</x:v>
      </x:c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 ht="15" hidden="0" customHeight="1">
      <x:c r="A97" s="18" t="n">
        <x:v>403.15</x:v>
      </x:c>
      <x:c r="B97" s="50" t="n">
        <x:v>0.17</x:v>
      </x:c>
      <x:c r="C97" s="18" t="n">
        <x:f>VLOOKUP(A97,Inputs!$A$13:$F$15,2,FALSE)</x:f>
        <x:v>76.2</x:v>
      </x:c>
      <x:c r="D97" s="18" t="n">
        <x:f>VLOOKUP(A97,Inputs!$A$13:$F$15,3,FALSE)</x:f>
        <x:v>38.05</x:v>
      </x:c>
      <x:c r="E97" s="18" t="n">
        <x:f>VLOOKUP(A97,Inputs!$A$13:$F$15,4,FALSE)</x:f>
        <x:v>1.97</x:v>
      </x:c>
      <x:c r="F97" s="18" t="n">
        <x:f>VLOOKUP(A97,Inputs!$A$13:$F$15,5,FALSE)</x:f>
        <x:v>2.6</x:v>
      </x:c>
      <x:c r="G97" s="18" t="n">
        <x:f>VLOOKUP(A97,Inputs!$A$13:$F$15,6,FALSE)</x:f>
        <x:v>3.3</x:v>
      </x:c>
      <x:c r="H97" s="30" t="n">
        <x:f>Inputs!$B$8*EXP(-(C97+E97)*B97)</x:f>
        <x:v>0.000003386367247912288</x:v>
      </x:c>
      <x:c r="I97" s="30" t="n">
        <x:f>C97*Inputs!$B$8/(D97+F97-C97-E97)*(EXP(-(C97+E97)*B97)-EXP(-(D97+F97)*B97))</x:f>
        <x:v>0.004043822944028376</x:v>
      </x:c>
      <x:c r="J97" s="30" t="n">
        <x:f>D97*C97*Inputs!$B$8/(D97+F97-C97-E97)*((EXP(-(C97+E97)*B97)-EXP(-G97*B97))/(G97-C97-E97)-(EXP(-(D97+F97)*B97)-EXP(-G97*B97))/(G97-D97-F97))</x:f>
        <x:v>1.179196277663298</x:v>
      </x:c>
      <x:c r="K97" s="30" t="n">
        <x:f>E97*Inputs!$B$8/(C97+E97)*(1-EXP(-(C97+E97)*B97))</x:f>
        <x:v>0.05040288254901524</x:v>
      </x:c>
      <x:c r="L97" s="30" t="n">
        <x:f>Inputs!$B$8-H97-I97-J97-K97</x:f>
        <x:v>0.7663536304764105</x:v>
      </x:c>
      <x:c r="M97" s="30" t="n">
        <x:f>(Inputs!$B$8-H97)/Inputs!$B$8</x:f>
        <x:v>0.999998306816376</x:v>
      </x:c>
      <x:c r="N97" s="30" t="n">
        <x:f>J97/Inputs!$B$8</x:f>
        <x:v>0.589598138831649</x:v>
      </x:c>
      <x:c r="O97" s="30" t="n">
        <x:f>J97/(Inputs!$B$8-H97)</x:f>
        <x:v>0.5895991371312527</x:v>
      </x:c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 ht="15" hidden="0" customHeight="1">
      <x:c r="A98" s="18" t="n">
        <x:v>403.15</x:v>
      </x:c>
      <x:c r="B98" s="50" t="n">
        <x:v>0.17500000000000002</x:v>
      </x:c>
      <x:c r="C98" s="18" t="n">
        <x:f>VLOOKUP(A98,Inputs!$A$13:$F$15,2,FALSE)</x:f>
        <x:v>76.2</x:v>
      </x:c>
      <x:c r="D98" s="18" t="n">
        <x:f>VLOOKUP(A98,Inputs!$A$13:$F$15,3,FALSE)</x:f>
        <x:v>38.05</x:v>
      </x:c>
      <x:c r="E98" s="18" t="n">
        <x:f>VLOOKUP(A98,Inputs!$A$13:$F$15,4,FALSE)</x:f>
        <x:v>1.97</x:v>
      </x:c>
      <x:c r="F98" s="18" t="n">
        <x:f>VLOOKUP(A98,Inputs!$A$13:$F$15,5,FALSE)</x:f>
        <x:v>2.6</x:v>
      </x:c>
      <x:c r="G98" s="18" t="n">
        <x:f>VLOOKUP(A98,Inputs!$A$13:$F$15,6,FALSE)</x:f>
        <x:v>3.3</x:v>
      </x:c>
      <x:c r="H98" s="30" t="n">
        <x:f>Inputs!$B$8*EXP(-(C98+E98)*B98)</x:f>
        <x:v>0.0000022908152040594772</x:v>
      </x:c>
      <x:c r="I98" s="30" t="n">
        <x:f>C98*Inputs!$B$8/(D98+F98-C98-E98)*(EXP(-(C98+E98)*B98)-EXP(-(D98+F98)*B98))</x:f>
        <x:v>0.003301019601576263</x:v>
      </x:c>
      <x:c r="J98" s="30" t="n">
        <x:f>D98*C98*Inputs!$B$8/(D98+F98-C98-E98)*((EXP(-(C98+E98)*B98)-EXP(-G98*B98))/(G98-C98-E98)-(EXP(-(D98+F98)*B98)-EXP(-G98*B98))/(G98-D98-F98))</x:f>
        <x:v>1.1605895652306513</x:v>
      </x:c>
      <x:c r="K98" s="30" t="n">
        <x:f>E98*Inputs!$B$8/(C98+E98)*(1-EXP(-(C98+E98)*B98))</x:f>
        <x:v>0.050402910158552486</x:v>
      </x:c>
      <x:c r="L98" s="30" t="n">
        <x:f>Inputs!$B$8-H98-I98-J98-K98</x:f>
        <x:v>0.7857042141940159</x:v>
      </x:c>
      <x:c r="M98" s="30" t="n">
        <x:f>(Inputs!$B$8-H98)/Inputs!$B$8</x:f>
        <x:v>0.999998854592398</x:v>
      </x:c>
      <x:c r="N98" s="30" t="n">
        <x:f>J98/Inputs!$B$8</x:f>
        <x:v>0.5802947826153256</x:v>
      </x:c>
      <x:c r="O98" s="30" t="n">
        <x:f>J98/(Inputs!$B$8-H98)</x:f>
        <x:v>0.5802954472901424</x:v>
      </x:c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 ht="15" hidden="0" customHeight="1">
      <x:c r="A99" s="18" t="n">
        <x:v>403.15</x:v>
      </x:c>
      <x:c r="B99" s="50" t="n">
        <x:v>0.18</x:v>
      </x:c>
      <x:c r="C99" s="18" t="n">
        <x:f>VLOOKUP(A99,Inputs!$A$13:$F$15,2,FALSE)</x:f>
        <x:v>76.2</x:v>
      </x:c>
      <x:c r="D99" s="18" t="n">
        <x:f>VLOOKUP(A99,Inputs!$A$13:$F$15,3,FALSE)</x:f>
        <x:v>38.05</x:v>
      </x:c>
      <x:c r="E99" s="18" t="n">
        <x:f>VLOOKUP(A99,Inputs!$A$13:$F$15,4,FALSE)</x:f>
        <x:v>1.97</x:v>
      </x:c>
      <x:c r="F99" s="18" t="n">
        <x:f>VLOOKUP(A99,Inputs!$A$13:$F$15,5,FALSE)</x:f>
        <x:v>2.6</x:v>
      </x:c>
      <x:c r="G99" s="18" t="n">
        <x:f>VLOOKUP(A99,Inputs!$A$13:$F$15,6,FALSE)</x:f>
        <x:v>3.3</x:v>
      </x:c>
      <x:c r="H99" s="30" t="n">
        <x:f>Inputs!$B$8*EXP(-(C99+E99)*B99)</x:f>
        <x:v>0.000001549694381903023</x:v>
      </x:c>
      <x:c r="I99" s="30" t="n">
        <x:f>C99*Inputs!$B$8/(D99+F99-C99-E99)*(EXP(-(C99+E99)*B99)-EXP(-(D99+F99)*B99))</x:f>
        <x:v>0.00269452637007229</x:v>
      </x:c>
      <x:c r="J99" s="30" t="n">
        <x:f>D99*C99*Inputs!$B$8/(D99+F99-C99-E99)*((EXP(-(C99+E99)*B99)-EXP(-G99*B99))/(G99-C99-E99)-(EXP(-(D99+F99)*B99)-EXP(-G99*B99))/(G99-D99-F99))</x:f>
        <x:v>1.1421605144159108</x:v>
      </x:c>
      <x:c r="K99" s="30" t="n">
        <x:f>E99*Inputs!$B$8/(C99+E99)*(1-EXP(-(C99+E99)*B99))</x:f>
        <x:v>0.05040292883589699</x:v>
      </x:c>
      <x:c r="L99" s="30" t="n">
        <x:f>Inputs!$B$8-H99-I99-J99-K99</x:f>
        <x:v>0.8047404806837378</x:v>
      </x:c>
      <x:c r="M99" s="30" t="n">
        <x:f>(Inputs!$B$8-H99)/Inputs!$B$8</x:f>
        <x:v>0.999999225152809</x:v>
      </x:c>
      <x:c r="N99" s="30" t="n">
        <x:f>J99/Inputs!$B$8</x:f>
        <x:v>0.5710802572079554</x:v>
      </x:c>
      <x:c r="O99" s="30" t="n">
        <x:f>J99/(Inputs!$B$8-H99)</x:f>
        <x:v>0.5710806997082314</x:v>
      </x:c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 ht="15" hidden="0" customHeight="1">
      <x:c r="A100" s="18" t="n">
        <x:v>403.15</x:v>
      </x:c>
      <x:c r="B100" s="50" t="n">
        <x:v>0.185</x:v>
      </x:c>
      <x:c r="C100" s="18" t="n">
        <x:f>VLOOKUP(A100,Inputs!$A$13:$F$15,2,FALSE)</x:f>
        <x:v>76.2</x:v>
      </x:c>
      <x:c r="D100" s="18" t="n">
        <x:f>VLOOKUP(A100,Inputs!$A$13:$F$15,3,FALSE)</x:f>
        <x:v>38.05</x:v>
      </x:c>
      <x:c r="E100" s="18" t="n">
        <x:f>VLOOKUP(A100,Inputs!$A$13:$F$15,4,FALSE)</x:f>
        <x:v>1.97</x:v>
      </x:c>
      <x:c r="F100" s="18" t="n">
        <x:f>VLOOKUP(A100,Inputs!$A$13:$F$15,5,FALSE)</x:f>
        <x:v>2.6</x:v>
      </x:c>
      <x:c r="G100" s="18" t="n">
        <x:f>VLOOKUP(A100,Inputs!$A$13:$F$15,6,FALSE)</x:f>
        <x:v>3.3</x:v>
      </x:c>
      <x:c r="H100" s="30" t="n">
        <x:f>Inputs!$B$8*EXP(-(C100+E100)*B100)</x:f>
        <x:v>0.0000010483397670165958</x:v>
      </x:c>
      <x:c r="I100" s="30" t="n">
        <x:f>C100*Inputs!$B$8/(D100+F100-C100-E100)*(EXP(-(C100+E100)*B100)-EXP(-(D100+F100)*B100))</x:f>
        <x:v>0.00219937278452976</x:v>
      </x:c>
      <x:c r="J100" s="30" t="n">
        <x:f>D100*C100*Inputs!$B$8/(D100+F100-C100-E100)*((EXP(-(C100+E100)*B100)-EXP(-G100*B100))/(G100-C100-E100)-(EXP(-(D100+F100)*B100)-EXP(-G100*B100))/(G100-D100-F100))</x:f>
        <x:v>1.1239294967121816</x:v>
      </x:c>
      <x:c r="K100" s="30" t="n">
        <x:f>E100*Inputs!$B$8/(C100+E100)*(1-EXP(-(C100+E100)*B100))</x:f>
        <x:v>0.050402941470777264</x:v>
      </x:c>
      <x:c r="L100" s="30" t="n">
        <x:f>Inputs!$B$8-H100-I100-J100-K100</x:f>
        <x:v>0.8234671406927444</x:v>
      </x:c>
      <x:c r="M100" s="30" t="n">
        <x:f>(Inputs!$B$8-H100)/Inputs!$B$8</x:f>
        <x:v>0.9999994758301165</x:v>
      </x:c>
      <x:c r="N100" s="30" t="n">
        <x:f>J100/Inputs!$B$8</x:f>
        <x:v>0.5619647483560908</x:v>
      </x:c>
      <x:c r="O100" s="30" t="n">
        <x:f>J100/(Inputs!$B$8-H100)</x:f>
        <x:v>0.5619650429212418</x:v>
      </x:c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 ht="15" hidden="0" customHeight="1">
      <x:c r="A101" s="18" t="n">
        <x:v>403.15</x:v>
      </x:c>
      <x:c r="B101" s="50" t="n">
        <x:v>0.19</x:v>
      </x:c>
      <x:c r="C101" s="18" t="n">
        <x:f>VLOOKUP(A101,Inputs!$A$13:$F$15,2,FALSE)</x:f>
        <x:v>76.2</x:v>
      </x:c>
      <x:c r="D101" s="18" t="n">
        <x:f>VLOOKUP(A101,Inputs!$A$13:$F$15,3,FALSE)</x:f>
        <x:v>38.05</x:v>
      </x:c>
      <x:c r="E101" s="18" t="n">
        <x:f>VLOOKUP(A101,Inputs!$A$13:$F$15,4,FALSE)</x:f>
        <x:v>1.97</x:v>
      </x:c>
      <x:c r="F101" s="18" t="n">
        <x:f>VLOOKUP(A101,Inputs!$A$13:$F$15,5,FALSE)</x:f>
        <x:v>2.6</x:v>
      </x:c>
      <x:c r="G101" s="18" t="n">
        <x:f>VLOOKUP(A101,Inputs!$A$13:$F$15,6,FALSE)</x:f>
        <x:v>3.3</x:v>
      </x:c>
      <x:c r="H101" s="30" t="n">
        <x:f>Inputs!$B$8*EXP(-(C101+E101)*B101)</x:f>
        <x:v>7.091825846066639e-7</x:v>
      </x:c>
      <x:c r="I101" s="30" t="n">
        <x:f>C101*Inputs!$B$8/(D101+F101-C101-E101)*(EXP(-(C101+E101)*B101)-EXP(-(D101+F101)*B101))</x:f>
        <x:v>0.0017951485851401187</x:v>
      </x:c>
      <x:c r="J101" s="30" t="n">
        <x:f>D101*C101*Inputs!$B$8/(D101+F101-C101-E101)*((EXP(-(C101+E101)*B101)-EXP(-G101*B101))/(G101-C101-E101)-(EXP(-(D101+F101)*B101)-EXP(-G101*B101))/(G101-D101-F101))</x:f>
        <x:v>1.1059122843433236</x:v>
      </x:c>
      <x:c r="K101" s="30" t="n">
        <x:f>E101*Inputs!$B$8/(C101+E101)*(1-EXP(-(C101+E101)*B101))</x:f>
        <x:v>0.05040295001804155</x:v>
      </x:c>
      <x:c r="L101" s="30" t="n">
        <x:f>Inputs!$B$8-H101-I101-J101-K101</x:f>
        <x:v>0.8418889078709101</x:v>
      </x:c>
      <x:c r="M101" s="30" t="n">
        <x:f>(Inputs!$B$8-H101)/Inputs!$B$8</x:f>
        <x:v>0.9999996454087077</x:v>
      </x:c>
      <x:c r="N101" s="30" t="n">
        <x:f>J101/Inputs!$B$8</x:f>
        <x:v>0.5529561421716618</x:v>
      </x:c>
      <x:c r="O101" s="30" t="n">
        <x:f>J101/(Inputs!$B$8-H101)</x:f>
        <x:v>0.5529563382451643</x:v>
      </x:c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 ht="15" hidden="0" customHeight="1">
      <x:c r="A102" s="18" t="n">
        <x:v>403.15</x:v>
      </x:c>
      <x:c r="B102" s="50" t="n">
        <x:v>0.195</x:v>
      </x:c>
      <x:c r="C102" s="18" t="n">
        <x:f>VLOOKUP(A102,Inputs!$A$13:$F$15,2,FALSE)</x:f>
        <x:v>76.2</x:v>
      </x:c>
      <x:c r="D102" s="18" t="n">
        <x:f>VLOOKUP(A102,Inputs!$A$13:$F$15,3,FALSE)</x:f>
        <x:v>38.05</x:v>
      </x:c>
      <x:c r="E102" s="18" t="n">
        <x:f>VLOOKUP(A102,Inputs!$A$13:$F$15,4,FALSE)</x:f>
        <x:v>1.97</x:v>
      </x:c>
      <x:c r="F102" s="18" t="n">
        <x:f>VLOOKUP(A102,Inputs!$A$13:$F$15,5,FALSE)</x:f>
        <x:v>2.6</x:v>
      </x:c>
      <x:c r="G102" s="18" t="n">
        <x:f>VLOOKUP(A102,Inputs!$A$13:$F$15,6,FALSE)</x:f>
        <x:v>3.3</x:v>
      </x:c>
      <x:c r="H102" s="30" t="n">
        <x:f>Inputs!$B$8*EXP(-(C102+E102)*B102)</x:f>
        <x:v>4.797489841873234e-7</x:v>
      </x:c>
      <x:c r="I102" s="30" t="n">
        <x:f>C102*Inputs!$B$8/(D102+F102-C102-E102)*(EXP(-(C102+E102)*B102)-EXP(-(D102+F102)*B102))</x:f>
        <x:v>0.0014651754946932824</x:v>
      </x:c>
      <x:c r="J102" s="30" t="n">
        <x:f>D102*C102*Inputs!$B$8/(D102+F102-C102-E102)*((EXP(-(C102+E102)*B102)-EXP(-G102*B102))/(G102-C102-E102)-(EXP(-(D102+F102)*B102)-EXP(-G102*B102))/(G102-D102-F102))</x:f>
        <x:v>1.088120905063425</x:v>
      </x:c>
      <x:c r="K102" s="30" t="n">
        <x:f>E102*Inputs!$B$8/(C102+E102)*(1-EXP(-(C102+E102)*B102))</x:f>
        <x:v>0.050402955800108756</x:v>
      </x:c>
      <x:c r="L102" s="30" t="n">
        <x:f>Inputs!$B$8-H102-I102-J102-K102</x:f>
        <x:v>0.8600104838927888</x:v>
      </x:c>
      <x:c r="M102" s="30" t="n">
        <x:f>(Inputs!$B$8-H102)/Inputs!$B$8</x:f>
        <x:v>0.999999760125508</x:v>
      </x:c>
      <x:c r="N102" s="30" t="n">
        <x:f>J102/Inputs!$B$8</x:f>
        <x:v>0.5440604525317125</x:v>
      </x:c>
      <x:c r="O102" s="30" t="n">
        <x:f>J102/(Inputs!$B$8-H102)</x:f>
        <x:v>0.5440605830379686</x:v>
      </x:c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 ht="15" hidden="0" customHeight="1">
      <x:c r="A103" s="18" t="n">
        <x:v>403.15</x:v>
      </x:c>
      <x:c r="B103" s="50" t="n">
        <x:v>0.2</x:v>
      </x:c>
      <x:c r="C103" s="18" t="n">
        <x:f>VLOOKUP(A103,Inputs!$A$13:$F$15,2,FALSE)</x:f>
        <x:v>76.2</x:v>
      </x:c>
      <x:c r="D103" s="18" t="n">
        <x:f>VLOOKUP(A103,Inputs!$A$13:$F$15,3,FALSE)</x:f>
        <x:v>38.05</x:v>
      </x:c>
      <x:c r="E103" s="18" t="n">
        <x:f>VLOOKUP(A103,Inputs!$A$13:$F$15,4,FALSE)</x:f>
        <x:v>1.97</x:v>
      </x:c>
      <x:c r="F103" s="18" t="n">
        <x:f>VLOOKUP(A103,Inputs!$A$13:$F$15,5,FALSE)</x:f>
        <x:v>2.6</x:v>
      </x:c>
      <x:c r="G103" s="18" t="n">
        <x:f>VLOOKUP(A103,Inputs!$A$13:$F$15,6,FALSE)</x:f>
        <x:v>3.3</x:v>
      </x:c>
      <x:c r="H103" s="30" t="n">
        <x:f>Inputs!$B$8*EXP(-(C103+E103)*B103)</x:f>
        <x:v>3.245413703389552e-7</x:v>
      </x:c>
      <x:c r="I103" s="30" t="n">
        <x:f>C103*Inputs!$B$8/(D103+F103-C103-E103)*(EXP(-(C103+E103)*B103)-EXP(-(D103+F103)*B103))</x:f>
        <x:v>0.0011958279251168458</x:v>
      </x:c>
      <x:c r="J103" s="30" t="n">
        <x:f>D103*C103*Inputs!$B$8/(D103+F103-C103-E103)*((EXP(-(C103+E103)*B103)-EXP(-G103*B103))/(G103-C103-E103)-(EXP(-(D103+F103)*B103)-EXP(-G103*B103))/(G103-D103-F103))</x:f>
        <x:v>1.0705643412330377</x:v>
      </x:c>
      <x:c r="K103" s="30" t="n">
        <x:f>E103*Inputs!$B$8/(C103+E103)*(1-EXP(-(C103+E103)*B103))</x:f>
        <x:v>0.05040295971157094</x:v>
      </x:c>
      <x:c r="L103" s="30" t="n">
        <x:f>Inputs!$B$8-H103-I103-J103-K103</x:f>
        <x:v>0.8778365465889042</x:v>
      </x:c>
      <x:c r="M103" s="30" t="n">
        <x:f>(Inputs!$B$8-H103)/Inputs!$B$8</x:f>
        <x:v>0.9999998377293148</x:v>
      </x:c>
      <x:c r="N103" s="30" t="n">
        <x:f>J103/Inputs!$B$8</x:f>
        <x:v>0.5352821706165188</x:v>
      </x:c>
      <x:c r="O103" s="30" t="n">
        <x:f>J103/(Inputs!$B$8-H103)</x:f>
        <x:v>0.5352822574771375</x:v>
      </x:c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 ht="15" hidden="0" customHeight="1">
      <x:c r="A104" s="18" t="n">
        <x:v>403.15</x:v>
      </x:c>
      <x:c r="B104" s="50" t="n">
        <x:v>0.20500000000000002</x:v>
      </x:c>
      <x:c r="C104" s="18" t="n">
        <x:f>VLOOKUP(A104,Inputs!$A$13:$F$15,2,FALSE)</x:f>
        <x:v>76.2</x:v>
      </x:c>
      <x:c r="D104" s="18" t="n">
        <x:f>VLOOKUP(A104,Inputs!$A$13:$F$15,3,FALSE)</x:f>
        <x:v>38.05</x:v>
      </x:c>
      <x:c r="E104" s="18" t="n">
        <x:f>VLOOKUP(A104,Inputs!$A$13:$F$15,4,FALSE)</x:f>
        <x:v>1.97</x:v>
      </x:c>
      <x:c r="F104" s="18" t="n">
        <x:f>VLOOKUP(A104,Inputs!$A$13:$F$15,5,FALSE)</x:f>
        <x:v>2.6</x:v>
      </x:c>
      <x:c r="G104" s="18" t="n">
        <x:f>VLOOKUP(A104,Inputs!$A$13:$F$15,6,FALSE)</x:f>
        <x:v>3.3</x:v>
      </x:c>
      <x:c r="H104" s="30" t="n">
        <x:f>Inputs!$B$8*EXP(-(C104+E104)*B104)</x:f>
        <x:v>2.195462721821224e-7</x:v>
      </x:c>
      <x:c r="I104" s="30" t="n">
        <x:f>C104*Inputs!$B$8/(D104+F104-C104-E104)*(EXP(-(C104+E104)*B104)-EXP(-(D104+F104)*B104))</x:f>
        <x:v>0.0009759763219601086</x:v>
      </x:c>
      <x:c r="J104" s="30" t="n">
        <x:f>D104*C104*Inputs!$B$8/(D104+F104-C104-E104)*((EXP(-(C104+E104)*B104)-EXP(-G104*B104))/(G104-C104-E104)-(EXP(-(D104+F104)*B104)-EXP(-G104*B104))/(G104-D104-F104))</x:f>
        <x:v>1.053249101258084</x:v>
      </x:c>
      <x:c r="K104" s="30" t="n">
        <x:f>E104*Inputs!$B$8/(C104+E104)*(1-EXP(-(C104+E104)*B104))</x:f>
        <x:v>0.05040296235760322</x:v>
      </x:c>
      <x:c r="L104" s="30" t="n">
        <x:f>Inputs!$B$8-H104-I104-J104-K104</x:f>
        <x:v>0.8953717405160804</x:v>
      </x:c>
      <x:c r="M104" s="30" t="n">
        <x:f>(Inputs!$B$8-H104)/Inputs!$B$8</x:f>
        <x:v>0.9999998902268639</x:v>
      </x:c>
      <x:c r="N104" s="30" t="n">
        <x:f>J104/Inputs!$B$8</x:f>
        <x:v>0.526624550629042</x:v>
      </x:c>
      <x:c r="O104" s="30" t="n">
        <x:f>J104/(Inputs!$B$8-H104)</x:f>
        <x:v>0.5266246084382769</x:v>
      </x:c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 ht="15" hidden="0" customHeight="1">
      <x:c r="A105" s="18" t="n">
        <x:v>403.15</x:v>
      </x:c>
      <x:c r="B105" s="50" t="n">
        <x:v>0.21</x:v>
      </x:c>
      <x:c r="C105" s="18" t="n">
        <x:f>VLOOKUP(A105,Inputs!$A$13:$F$15,2,FALSE)</x:f>
        <x:v>76.2</x:v>
      </x:c>
      <x:c r="D105" s="18" t="n">
        <x:f>VLOOKUP(A105,Inputs!$A$13:$F$15,3,FALSE)</x:f>
        <x:v>38.05</x:v>
      </x:c>
      <x:c r="E105" s="18" t="n">
        <x:f>VLOOKUP(A105,Inputs!$A$13:$F$15,4,FALSE)</x:f>
        <x:v>1.97</x:v>
      </x:c>
      <x:c r="F105" s="18" t="n">
        <x:f>VLOOKUP(A105,Inputs!$A$13:$F$15,5,FALSE)</x:f>
        <x:v>2.6</x:v>
      </x:c>
      <x:c r="G105" s="18" t="n">
        <x:f>VLOOKUP(A105,Inputs!$A$13:$F$15,6,FALSE)</x:f>
        <x:v>3.3</x:v>
      </x:c>
      <x:c r="H105" s="30" t="n">
        <x:f>Inputs!$B$8*EXP(-(C105+E105)*B105)</x:f>
        <x:v>1.4851901801833548e-7</x:v>
      </x:c>
      <x:c r="I105" s="30" t="n">
        <x:f>C105*Inputs!$B$8/(D105+F105-C105-E105)*(EXP(-(C105+E105)*B105)-EXP(-(D105+F105)*B105))</x:f>
        <x:v>0.0007965313351666276</x:v>
      </x:c>
      <x:c r="J105" s="30" t="n">
        <x:f>D105*C105*Inputs!$B$8/(D105+F105-C105-E105)*((EXP(-(C105+E105)*B105)-EXP(-G105*B105))/(G105-C105-E105)-(EXP(-(D105+F105)*B105)-EXP(-G105*B105))/(G105-D105-F105))</x:f>
        <x:v>1.0361796864925614</x:v>
      </x:c>
      <x:c r="K105" s="30" t="n">
        <x:f>E105*Inputs!$B$8/(C105+E105)*(1-EXP(-(C105+E105)*B105))</x:f>
        <x:v>0.050402964147595423</x:v>
      </x:c>
      <x:c r="L105" s="30" t="n">
        <x:f>Inputs!$B$8-H105-I105-J105-K105</x:f>
        <x:v>0.9126206695056587</x:v>
      </x:c>
      <x:c r="M105" s="30" t="n">
        <x:f>(Inputs!$B$8-H105)/Inputs!$B$8</x:f>
        <x:v>0.999999925740491</x:v>
      </x:c>
      <x:c r="N105" s="30" t="n">
        <x:f>J105/Inputs!$B$8</x:f>
        <x:v>0.5180898432462807</x:v>
      </x:c>
      <x:c r="O105" s="30" t="n">
        <x:f>J105/(Inputs!$B$8-H105)</x:f>
        <x:v>0.518089881719381</x:v>
      </x:c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 ht="15" hidden="0" customHeight="1">
      <x:c r="A106" s="18" t="n">
        <x:v>403.15</x:v>
      </x:c>
      <x:c r="B106" s="50" t="n">
        <x:v>0.215</x:v>
      </x:c>
      <x:c r="C106" s="18" t="n">
        <x:f>VLOOKUP(A106,Inputs!$A$13:$F$15,2,FALSE)</x:f>
        <x:v>76.2</x:v>
      </x:c>
      <x:c r="D106" s="18" t="n">
        <x:f>VLOOKUP(A106,Inputs!$A$13:$F$15,3,FALSE)</x:f>
        <x:v>38.05</x:v>
      </x:c>
      <x:c r="E106" s="18" t="n">
        <x:f>VLOOKUP(A106,Inputs!$A$13:$F$15,4,FALSE)</x:f>
        <x:v>1.97</x:v>
      </x:c>
      <x:c r="F106" s="18" t="n">
        <x:f>VLOOKUP(A106,Inputs!$A$13:$F$15,5,FALSE)</x:f>
        <x:v>2.6</x:v>
      </x:c>
      <x:c r="G106" s="18" t="n">
        <x:f>VLOOKUP(A106,Inputs!$A$13:$F$15,6,FALSE)</x:f>
        <x:v>3.3</x:v>
      </x:c>
      <x:c r="H106" s="30" t="n">
        <x:f>Inputs!$B$8*EXP(-(C106+E106)*B106)</x:f>
        <x:v>1.0047038600970984e-7</x:v>
      </x:c>
      <x:c r="I106" s="30" t="n">
        <x:f>C106*Inputs!$B$8/(D106+F106-C106-E106)*(EXP(-(C106+E106)*B106)-EXP(-(D106+F106)*B106))</x:f>
        <x:v>0.0006500707753051703</x:v>
      </x:c>
      <x:c r="J106" s="30" t="n">
        <x:f>D106*C106*Inputs!$B$8/(D106+F106-C106-E106)*((EXP(-(C106+E106)*B106)-EXP(-G106*B106))/(G106-C106-E106)-(EXP(-(D106+F106)*B106)-EXP(-G106*B106))/(G106-D106-F106))</x:f>
        <x:v>1.0193589725796208</x:v>
      </x:c>
      <x:c r="K106" s="30" t="n">
        <x:f>E106*Inputs!$B$8/(C106+E106)*(1-EXP(-(C106+E106)*B106))</x:f>
        <x:v>0.05040296535849225</x:v>
      </x:c>
      <x:c r="L106" s="30" t="n">
        <x:f>Inputs!$B$8-H106-I106-J106-K106</x:f>
        <x:v>0.9295878908161957</x:v>
      </x:c>
      <x:c r="M106" s="30" t="n">
        <x:f>(Inputs!$B$8-H106)/Inputs!$B$8</x:f>
        <x:v>0.999999949764807</x:v>
      </x:c>
      <x:c r="N106" s="30" t="n">
        <x:f>J106/Inputs!$B$8</x:f>
        <x:v>0.5096794862898104</x:v>
      </x:c>
      <x:c r="O106" s="30" t="n">
        <x:f>J106/(Inputs!$B$8-H106)</x:f>
        <x:v>0.509679511893659</x:v>
      </x:c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 ht="15" hidden="0" customHeight="1">
      <x:c r="A107" s="18" t="n">
        <x:v>403.15</x:v>
      </x:c>
      <x:c r="B107" s="50" t="n">
        <x:v>0.22</x:v>
      </x:c>
      <x:c r="C107" s="18" t="n">
        <x:f>VLOOKUP(A107,Inputs!$A$13:$F$15,2,FALSE)</x:f>
        <x:v>76.2</x:v>
      </x:c>
      <x:c r="D107" s="18" t="n">
        <x:f>VLOOKUP(A107,Inputs!$A$13:$F$15,3,FALSE)</x:f>
        <x:v>38.05</x:v>
      </x:c>
      <x:c r="E107" s="18" t="n">
        <x:f>VLOOKUP(A107,Inputs!$A$13:$F$15,4,FALSE)</x:f>
        <x:v>1.97</x:v>
      </x:c>
      <x:c r="F107" s="18" t="n">
        <x:f>VLOOKUP(A107,Inputs!$A$13:$F$15,5,FALSE)</x:f>
        <x:v>2.6</x:v>
      </x:c>
      <x:c r="G107" s="18" t="n">
        <x:f>VLOOKUP(A107,Inputs!$A$13:$F$15,6,FALSE)</x:f>
        <x:v>3.3</x:v>
      </x:c>
      <x:c r="H107" s="30" t="n">
        <x:f>Inputs!$B$8*EXP(-(C107+E107)*B107)</x:f>
        <x:v>6.796636955742532e-8</x:v>
      </x:c>
      <x:c r="I107" s="30" t="n">
        <x:f>C107*Inputs!$B$8/(D107+F107-C107-E107)*(EXP(-(C107+E107)*B107)-EXP(-(D107+F107)*B107))</x:f>
        <x:v>0.000530534469638446</x:v>
      </x:c>
      <x:c r="J107" s="30" t="n">
        <x:f>D107*C107*Inputs!$B$8/(D107+F107-C107-E107)*((EXP(-(C107+E107)*B107)-EXP(-G107*B107))/(G107-C107-E107)-(EXP(-(D107+F107)*B107)-EXP(-G107*B107))/(G107-D107-F107))</x:f>
        <x:v>1.0027885207984661</x:v>
      </x:c>
      <x:c r="K107" s="30" t="n">
        <x:f>E107*Inputs!$B$8/(C107+E107)*(1-EXP(-(C107+E107)*B107))</x:f>
        <x:v>0.0504029661776417</x:v>
      </x:c>
      <x:c r="L107" s="30" t="n">
        <x:f>Inputs!$B$8-H107-I107-J107-K107</x:f>
        <x:v>0.946277910587884</x:v>
      </x:c>
      <x:c r="M107" s="30" t="n">
        <x:f>(Inputs!$B$8-H107)/Inputs!$B$8</x:f>
        <x:v>0.9999999660168152</x:v>
      </x:c>
      <x:c r="N107" s="30" t="n">
        <x:f>J107/Inputs!$B$8</x:f>
        <x:v>0.5013942603992331</x:v>
      </x:c>
      <x:c r="O107" s="30" t="n">
        <x:f>J107/(Inputs!$B$8-H107)</x:f>
        <x:v>0.5013942774382075</x:v>
      </x:c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 ht="15" hidden="0" customHeight="1">
      <x:c r="A108" s="18" t="n">
        <x:v>403.15</x:v>
      </x:c>
      <x:c r="B108" s="50" t="n">
        <x:v>0.225</x:v>
      </x:c>
      <x:c r="C108" s="18" t="n">
        <x:f>VLOOKUP(A108,Inputs!$A$13:$F$15,2,FALSE)</x:f>
        <x:v>76.2</x:v>
      </x:c>
      <x:c r="D108" s="18" t="n">
        <x:f>VLOOKUP(A108,Inputs!$A$13:$F$15,3,FALSE)</x:f>
        <x:v>38.05</x:v>
      </x:c>
      <x:c r="E108" s="18" t="n">
        <x:f>VLOOKUP(A108,Inputs!$A$13:$F$15,4,FALSE)</x:f>
        <x:v>1.97</x:v>
      </x:c>
      <x:c r="F108" s="18" t="n">
        <x:f>VLOOKUP(A108,Inputs!$A$13:$F$15,5,FALSE)</x:f>
        <x:v>2.6</x:v>
      </x:c>
      <x:c r="G108" s="18" t="n">
        <x:f>VLOOKUP(A108,Inputs!$A$13:$F$15,6,FALSE)</x:f>
        <x:v>3.3</x:v>
      </x:c>
      <x:c r="H108" s="30" t="n">
        <x:f>Inputs!$B$8*EXP(-(C108+E108)*B108)</x:f>
        <x:v>4.597799982942309e-8</x:v>
      </x:c>
      <x:c r="I108" s="30" t="n">
        <x:f>C108*Inputs!$B$8/(D108+F108-C108-E108)*(EXP(-(C108+E108)*B108)-EXP(-(D108+F108)*B108))</x:f>
        <x:v>0.000432974760016264</x:v>
      </x:c>
      <x:c r="J108" s="30" t="n">
        <x:f>D108*C108*Inputs!$B$8/(D108+F108-C108-E108)*((EXP(-(C108+E108)*B108)-EXP(-G108*B108))/(G108-C108-E108)-(EXP(-(D108+F108)*B108)-EXP(-G108*B108))/(G108-D108-F108))</x:f>
        <x:v>0.986468832177213</x:v>
      </x:c>
      <x:c r="K108" s="30" t="n">
        <x:f>E108*Inputs!$B$8/(C108+E108)*(1-EXP(-(C108+E108)*B108))</x:f>
        <x:v>0.05040296673178125</x:v>
      </x:c>
      <x:c r="L108" s="30" t="n">
        <x:f>Inputs!$B$8-H108-I108-J108-K108</x:f>
        <x:v>0.9626951803529896</x:v>
      </x:c>
      <x:c r="M108" s="30" t="n">
        <x:f>(Inputs!$B$8-H108)/Inputs!$B$8</x:f>
        <x:v>0.9999999770110001</x:v>
      </x:c>
      <x:c r="N108" s="30" t="n">
        <x:f>J108/Inputs!$B$8</x:f>
        <x:v>0.4932344160886065</x:v>
      </x:c>
      <x:c r="O108" s="30" t="n">
        <x:f>J108/(Inputs!$B$8-H108)</x:f>
        <x:v>0.49323442742757273</x:v>
      </x:c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 ht="15" hidden="0" customHeight="1">
      <x:c r="A109" s="18" t="n">
        <x:v>403.15</x:v>
      </x:c>
      <x:c r="B109" s="50" t="n">
        <x:v>0.23</x:v>
      </x:c>
      <x:c r="C109" s="18" t="n">
        <x:f>VLOOKUP(A109,Inputs!$A$13:$F$15,2,FALSE)</x:f>
        <x:v>76.2</x:v>
      </x:c>
      <x:c r="D109" s="18" t="n">
        <x:f>VLOOKUP(A109,Inputs!$A$13:$F$15,3,FALSE)</x:f>
        <x:v>38.05</x:v>
      </x:c>
      <x:c r="E109" s="18" t="n">
        <x:f>VLOOKUP(A109,Inputs!$A$13:$F$15,4,FALSE)</x:f>
        <x:v>1.97</x:v>
      </x:c>
      <x:c r="F109" s="18" t="n">
        <x:f>VLOOKUP(A109,Inputs!$A$13:$F$15,5,FALSE)</x:f>
        <x:v>2.6</x:v>
      </x:c>
      <x:c r="G109" s="18" t="n">
        <x:f>VLOOKUP(A109,Inputs!$A$13:$F$15,6,FALSE)</x:f>
        <x:v>3.3</x:v>
      </x:c>
      <x:c r="H109" s="30" t="n">
        <x:f>Inputs!$B$8*EXP(-(C109+E109)*B109)</x:f>
        <x:v>3.1103271839881264e-8</x:v>
      </x:c>
      <x:c r="I109" s="30" t="n">
        <x:f>C109*Inputs!$B$8/(D109+F109-C109-E109)*(EXP(-(C109+E109)*B109)-EXP(-(D109+F109)*B109))</x:f>
        <x:v>0.00035335256456756834</x:v>
      </x:c>
      <x:c r="J109" s="30" t="n">
        <x:f>D109*C109*Inputs!$B$8/(D109+F109-C109-E109)*((EXP(-(C109+E109)*B109)-EXP(-G109*B109))/(G109-C109-E109)-(EXP(-(D109+F109)*B109)-EXP(-G109*B109))/(G109-D109-F109))</x:f>
        <x:v>0.9703995548227826</x:v>
      </x:c>
      <x:c r="K109" s="30" t="n">
        <x:f>E109*Inputs!$B$8/(C109+E109)*(1-EXP(-(C109+E109)*B109))</x:f>
        <x:v>0.05040296710664647</x:v>
      </x:c>
      <x:c r="L109" s="30" t="n">
        <x:f>Inputs!$B$8-H109-I109-J109-K109</x:f>
        <x:v>0.9788440944027316</x:v>
      </x:c>
      <x:c r="M109" s="30" t="n">
        <x:f>(Inputs!$B$8-H109)/Inputs!$B$8</x:f>
        <x:v>0.9999999844483641</x:v>
      </x:c>
      <x:c r="N109" s="30" t="n">
        <x:f>J109/Inputs!$B$8</x:f>
        <x:v>0.4851997774113913</x:v>
      </x:c>
      <x:c r="O109" s="30" t="n">
        <x:f>J109/(Inputs!$B$8-H109)</x:f>
        <x:v>0.4851997849570417</x:v>
      </x:c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 ht="15" hidden="0" customHeight="1">
      <x:c r="A110" s="18" t="n">
        <x:v>403.15</x:v>
      </x:c>
      <x:c r="B110" s="50" t="n">
        <x:v>0.23500000000000001</x:v>
      </x:c>
      <x:c r="C110" s="18" t="n">
        <x:f>VLOOKUP(A110,Inputs!$A$13:$F$15,2,FALSE)</x:f>
        <x:v>76.2</x:v>
      </x:c>
      <x:c r="D110" s="18" t="n">
        <x:f>VLOOKUP(A110,Inputs!$A$13:$F$15,3,FALSE)</x:f>
        <x:v>38.05</x:v>
      </x:c>
      <x:c r="E110" s="18" t="n">
        <x:f>VLOOKUP(A110,Inputs!$A$13:$F$15,4,FALSE)</x:f>
        <x:v>1.97</x:v>
      </x:c>
      <x:c r="F110" s="18" t="n">
        <x:f>VLOOKUP(A110,Inputs!$A$13:$F$15,5,FALSE)</x:f>
        <x:v>2.6</x:v>
      </x:c>
      <x:c r="G110" s="18" t="n">
        <x:f>VLOOKUP(A110,Inputs!$A$13:$F$15,6,FALSE)</x:f>
        <x:v>3.3</x:v>
      </x:c>
      <x:c r="H110" s="30" t="n">
        <x:f>Inputs!$B$8*EXP(-(C110+E110)*B110)</x:f>
        <x:v>2.1040791742455605e-8</x:v>
      </x:c>
      <x:c r="I110" s="30" t="n">
        <x:f>C110*Inputs!$B$8/(D110+F110-C110-E110)*(EXP(-(C110+E110)*B110)-EXP(-(D110+F110)*B110))</x:f>
        <x:v>0.0002883707283247914</x:v>
      </x:c>
      <x:c r="J110" s="30" t="n">
        <x:f>D110*C110*Inputs!$B$8/(D110+F110-C110-E110)*((EXP(-(C110+E110)*B110)-EXP(-G110*B110))/(G110-C110-E110)-(EXP(-(D110+F110)*B110)-EXP(-G110*B110))/(G110-D110-F110))</x:f>
        <x:v>0.9545796530222622</x:v>
      </x:c>
      <x:c r="K110" s="30" t="n">
        <x:f>E110*Inputs!$B$8/(C110+E110)*(1-EXP(-(C110+E110)*B110))</x:f>
        <x:v>0.0504029673602359</x:v>
      </x:c>
      <x:c r="L110" s="30" t="n">
        <x:f>Inputs!$B$8-H110-I110-J110-K110</x:f>
        <x:v>0.9947289878483853</x:v>
      </x:c>
      <x:c r="M110" s="30" t="n">
        <x:f>(Inputs!$B$8-H110)/Inputs!$B$8</x:f>
        <x:v>0.9999999894796041</x:v>
      </x:c>
      <x:c r="N110" s="30" t="n">
        <x:f>J110/Inputs!$B$8</x:f>
        <x:v>0.4772898265111311</x:v>
      </x:c>
      <x:c r="O110" s="30" t="n">
        <x:f>J110/(Inputs!$B$8-H110)</x:f>
        <x:v>0.4772898315324091</x:v>
      </x:c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 ht="15" hidden="0" customHeight="1">
      <x:c r="A111" s="18" t="n">
        <x:v>403.15</x:v>
      </x:c>
      <x:c r="B111" s="50" t="n">
        <x:v>0.24</x:v>
      </x:c>
      <x:c r="C111" s="18" t="n">
        <x:f>VLOOKUP(A111,Inputs!$A$13:$F$15,2,FALSE)</x:f>
        <x:v>76.2</x:v>
      </x:c>
      <x:c r="D111" s="18" t="n">
        <x:f>VLOOKUP(A111,Inputs!$A$13:$F$15,3,FALSE)</x:f>
        <x:v>38.05</x:v>
      </x:c>
      <x:c r="E111" s="18" t="n">
        <x:f>VLOOKUP(A111,Inputs!$A$13:$F$15,4,FALSE)</x:f>
        <x:v>1.97</x:v>
      </x:c>
      <x:c r="F111" s="18" t="n">
        <x:f>VLOOKUP(A111,Inputs!$A$13:$F$15,5,FALSE)</x:f>
        <x:v>2.6</x:v>
      </x:c>
      <x:c r="G111" s="18" t="n">
        <x:f>VLOOKUP(A111,Inputs!$A$13:$F$15,6,FALSE)</x:f>
        <x:v>3.3</x:v>
      </x:c>
      <x:c r="H111" s="30" t="n">
        <x:f>Inputs!$B$8*EXP(-(C111+E111)*B111)</x:f>
        <x:v>1.4233708898165861e-8</x:v>
      </x:c>
      <x:c r="I111" s="30" t="n">
        <x:f>C111*Inputs!$B$8/(D111+F111-C111-E111)*(EXP(-(C111+E111)*B111)-EXP(-(D111+F111)*B111))</x:f>
        <x:v>0.00023533787574690142</x:v>
      </x:c>
      <x:c r="J111" s="30" t="n">
        <x:f>D111*C111*Inputs!$B$8/(D111+F111-C111-E111)*((EXP(-(C111+E111)*B111)-EXP(-G111*B111))/(G111-C111-E111)-(EXP(-(D111+F111)*B111)-EXP(-G111*B111))/(G111-D111-F111))</x:f>
        <x:v>0.9390075451140708</x:v>
      </x:c>
      <x:c r="K111" s="30" t="n">
        <x:f>E111*Inputs!$B$8/(C111+E111)*(1-EXP(-(C111+E111)*B111))</x:f>
        <x:v>0.050402967531784484</x:v>
      </x:c>
      <x:c r="L111" s="30" t="n">
        <x:f>Inputs!$B$8-H111-I111-J111-K111</x:f>
        <x:v>1.0103541352446888</x:v>
      </x:c>
      <x:c r="M111" s="30" t="n">
        <x:f>(Inputs!$B$8-H111)/Inputs!$B$8</x:f>
        <x:v>0.9999999928831456</x:v>
      </x:c>
      <x:c r="N111" s="30" t="n">
        <x:f>J111/Inputs!$B$8</x:f>
        <x:v>0.4695037725570354</x:v>
      </x:c>
      <x:c r="O111" s="30" t="n">
        <x:f>J111/(Inputs!$B$8-H111)</x:f>
        <x:v>0.46950377589842546</x:v>
      </x:c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 ht="15" hidden="0" customHeight="1">
      <x:c r="A112" s="18" t="n">
        <x:v>403.15</x:v>
      </x:c>
      <x:c r="B112" s="50" t="n">
        <x:v>0.245</x:v>
      </x:c>
      <x:c r="C112" s="18" t="n">
        <x:f>VLOOKUP(A112,Inputs!$A$13:$F$15,2,FALSE)</x:f>
        <x:v>76.2</x:v>
      </x:c>
      <x:c r="D112" s="18" t="n">
        <x:f>VLOOKUP(A112,Inputs!$A$13:$F$15,3,FALSE)</x:f>
        <x:v>38.05</x:v>
      </x:c>
      <x:c r="E112" s="18" t="n">
        <x:f>VLOOKUP(A112,Inputs!$A$13:$F$15,4,FALSE)</x:f>
        <x:v>1.97</x:v>
      </x:c>
      <x:c r="F112" s="18" t="n">
        <x:f>VLOOKUP(A112,Inputs!$A$13:$F$15,5,FALSE)</x:f>
        <x:v>2.6</x:v>
      </x:c>
      <x:c r="G112" s="18" t="n">
        <x:f>VLOOKUP(A112,Inputs!$A$13:$F$15,6,FALSE)</x:f>
        <x:v>3.3</x:v>
      </x:c>
      <x:c r="H112" s="30" t="n">
        <x:f>Inputs!$B$8*EXP(-(C112+E112)*B112)</x:f>
        <x:v>9.62884246360972e-9</x:v>
      </x:c>
      <x:c r="I112" s="30" t="n">
        <x:f>C112*Inputs!$B$8/(D112+F112-C112-E112)*(EXP(-(C112+E112)*B112)-EXP(-(D112+F112)*B112))</x:f>
        <x:v>0.00019205720333084395</x:v>
      </x:c>
      <x:c r="J112" s="30" t="n">
        <x:f>D112*C112*Inputs!$B$8/(D112+F112-C112-E112)*((EXP(-(C112+E112)*B112)-EXP(-G112*B112))/(G112-C112-E112)-(EXP(-(D112+F112)*B112)-EXP(-G112*B112))/(G112-D112-F112))</x:f>
        <x:v>0.9236812158517683</x:v>
      </x:c>
      <x:c r="K112" s="30" t="n">
        <x:f>E112*Inputs!$B$8/(C112+E112)*(1-EXP(-(C112+E112)*B112))</x:f>
        <x:v>0.05040296764783395</x:v>
      </x:c>
      <x:c r="L112" s="30" t="n">
        <x:f>Inputs!$B$8-H112-I112-J112-K112</x:f>
        <x:v>1.0257237496682245</x:v>
      </x:c>
      <x:c r="M112" s="30" t="n">
        <x:f>(Inputs!$B$8-H112)/Inputs!$B$8</x:f>
        <x:v>0.9999999951855788</x:v>
      </x:c>
      <x:c r="N112" s="30" t="n">
        <x:f>J112/Inputs!$B$8</x:f>
        <x:v>0.46184060792588416</x:v>
      </x:c>
      <x:c r="O112" s="30" t="n">
        <x:f>J112/(Inputs!$B$8-H112)</x:f>
        <x:v>0.4618406101493794</x:v>
      </x:c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 ht="15" hidden="0" customHeight="1">
      <x:c r="A113" s="18" t="n">
        <x:v>403.15</x:v>
      </x:c>
      <x:c r="B113" s="50" t="n">
        <x:v>0.25</x:v>
      </x:c>
      <x:c r="C113" s="18" t="n">
        <x:f>VLOOKUP(A113,Inputs!$A$13:$F$15,2,FALSE)</x:f>
        <x:v>76.2</x:v>
      </x:c>
      <x:c r="D113" s="18" t="n">
        <x:f>VLOOKUP(A113,Inputs!$A$13:$F$15,3,FALSE)</x:f>
        <x:v>38.05</x:v>
      </x:c>
      <x:c r="E113" s="18" t="n">
        <x:f>VLOOKUP(A113,Inputs!$A$13:$F$15,4,FALSE)</x:f>
        <x:v>1.97</x:v>
      </x:c>
      <x:c r="F113" s="18" t="n">
        <x:f>VLOOKUP(A113,Inputs!$A$13:$F$15,5,FALSE)</x:f>
        <x:v>2.6</x:v>
      </x:c>
      <x:c r="G113" s="18" t="n">
        <x:f>VLOOKUP(A113,Inputs!$A$13:$F$15,6,FALSE)</x:f>
        <x:v>3.3</x:v>
      </x:c>
      <x:c r="H113" s="30" t="n">
        <x:f>Inputs!$B$8*EXP(-(C113+E113)*B113)</x:f>
        <x:v>6.5137349549814665e-9</x:v>
      </x:c>
      <x:c r="I113" s="30" t="n">
        <x:f>C113*Inputs!$B$8/(D113+F113-C113-E113)*(EXP(-(C113+E113)*B113)-EXP(-(D113+F113)*B113))</x:f>
        <x:v>0.00015673565784334774</x:v>
      </x:c>
      <x:c r="J113" s="30" t="n">
        <x:f>D113*C113*Inputs!$B$8/(D113+F113-C113-E113)*((EXP(-(C113+E113)*B113)-EXP(-G113*B113))/(G113-C113-E113)-(EXP(-(D113+F113)*B113)-EXP(-G113*B113))/(G113-D113-F113))</x:f>
        <x:v>0.9085983079386578</x:v>
      </x:c>
      <x:c r="K113" s="30" t="n">
        <x:f>E113*Inputs!$B$8/(C113+E113)*(1-EXP(-(C113+E113)*B113))</x:f>
        <x:v>0.05040296772633929</x:v>
      </x:c>
      <x:c r="L113" s="30" t="n">
        <x:f>Inputs!$B$8-H113-I113-J113-K113</x:f>
        <x:v>1.0408419821634245</x:v>
      </x:c>
      <x:c r="M113" s="30" t="n">
        <x:f>(Inputs!$B$8-H113)/Inputs!$B$8</x:f>
        <x:v>0.9999999967431326</x:v>
      </x:c>
      <x:c r="N113" s="30" t="n">
        <x:f>J113/Inputs!$B$8</x:f>
        <x:v>0.4542991539693289</x:v>
      </x:c>
      <x:c r="O113" s="30" t="n">
        <x:f>J113/(Inputs!$B$8-H113)</x:f>
        <x:v>0.454299155448921</x:v>
      </x:c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 ht="15" hidden="0" customHeight="1">
      <x:c r="A114" s="18" t="n">
        <x:v>403.15</x:v>
      </x:c>
      <x:c r="B114" s="50" t="n">
        <x:v>0.255</x:v>
      </x:c>
      <x:c r="C114" s="18" t="n">
        <x:f>VLOOKUP(A114,Inputs!$A$13:$F$15,2,FALSE)</x:f>
        <x:v>76.2</x:v>
      </x:c>
      <x:c r="D114" s="18" t="n">
        <x:f>VLOOKUP(A114,Inputs!$A$13:$F$15,3,FALSE)</x:f>
        <x:v>38.05</x:v>
      </x:c>
      <x:c r="E114" s="18" t="n">
        <x:f>VLOOKUP(A114,Inputs!$A$13:$F$15,4,FALSE)</x:f>
        <x:v>1.97</x:v>
      </x:c>
      <x:c r="F114" s="18" t="n">
        <x:f>VLOOKUP(A114,Inputs!$A$13:$F$15,5,FALSE)</x:f>
        <x:v>2.6</x:v>
      </x:c>
      <x:c r="G114" s="18" t="n">
        <x:f>VLOOKUP(A114,Inputs!$A$13:$F$15,6,FALSE)</x:f>
        <x:v>3.3</x:v>
      </x:c>
      <x:c r="H114" s="30" t="n">
        <x:f>Inputs!$B$8*EXP(-(C114+E114)*B114)</x:f>
        <x:v>4.406421978976012e-9</x:v>
      </x:c>
      <x:c r="I114" s="30" t="n">
        <x:f>C114*Inputs!$B$8/(D114+F114-C114-E114)*(EXP(-(C114+E114)*B114)-EXP(-(D114+F114)*B114))</x:f>
        <x:v>0.00012790977282387678</x:v>
      </x:c>
      <x:c r="J114" s="30" t="n">
        <x:f>D114*C114*Inputs!$B$8/(D114+F114-C114-E114)*((EXP(-(C114+E114)*B114)-EXP(-G114*B114))/(G114-C114-E114)-(EXP(-(D114+F114)*B114)-EXP(-G114*B114))/(G114-D114-F114))</x:f>
        <x:v>0.8937561965562116</x:v>
      </x:c>
      <x:c r="K114" s="30" t="n">
        <x:f>E114*Inputs!$B$8/(C114+E114)*(1-EXP(-(C114+E114)*B114))</x:f>
        <x:v>0.0504029677794467</x:v>
      </x:c>
      <x:c r="L114" s="30" t="n">
        <x:f>Inputs!$B$8-H114-I114-J114-K114</x:f>
        <x:v>1.0557129214850958</x:v>
      </x:c>
      <x:c r="M114" s="30" t="n">
        <x:f>(Inputs!$B$8-H114)/Inputs!$B$8</x:f>
        <x:v>0.999999997796789</x:v>
      </x:c>
      <x:c r="N114" s="30" t="n">
        <x:f>J114/Inputs!$B$8</x:f>
        <x:v>0.4468780982781058</x:v>
      </x:c>
      <x:c r="O114" s="30" t="n">
        <x:f>J114/(Inputs!$B$8-H114)</x:f>
        <x:v>0.4468780992626725</x:v>
      </x:c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 ht="15" hidden="0" customHeight="1">
      <x:c r="A115" s="18" t="n">
        <x:v>403.15</x:v>
      </x:c>
      <x:c r="B115" s="50" t="n">
        <x:v>0.26</x:v>
      </x:c>
      <x:c r="C115" s="18" t="n">
        <x:f>VLOOKUP(A115,Inputs!$A$13:$F$15,2,FALSE)</x:f>
        <x:v>76.2</x:v>
      </x:c>
      <x:c r="D115" s="18" t="n">
        <x:f>VLOOKUP(A115,Inputs!$A$13:$F$15,3,FALSE)</x:f>
        <x:v>38.05</x:v>
      </x:c>
      <x:c r="E115" s="18" t="n">
        <x:f>VLOOKUP(A115,Inputs!$A$13:$F$15,4,FALSE)</x:f>
        <x:v>1.97</x:v>
      </x:c>
      <x:c r="F115" s="18" t="n">
        <x:f>VLOOKUP(A115,Inputs!$A$13:$F$15,5,FALSE)</x:f>
        <x:v>2.6</x:v>
      </x:c>
      <x:c r="G115" s="18" t="n">
        <x:f>VLOOKUP(A115,Inputs!$A$13:$F$15,6,FALSE)</x:f>
        <x:v>3.3</x:v>
      </x:c>
      <x:c r="H115" s="30" t="n">
        <x:f>Inputs!$B$8*EXP(-(C115+E115)*B115)</x:f>
        <x:v>2.9808634817039658e-9</x:v>
      </x:c>
      <x:c r="I115" s="30" t="n">
        <x:f>C115*Inputs!$B$8/(D115+F115-C115-E115)*(EXP(-(C115+E115)*B115)-EXP(-(D115+F115)*B115))</x:f>
        <x:v>0.00010438511441792193</x:v>
      </x:c>
      <x:c r="J115" s="30" t="n">
        <x:f>D115*C115*Inputs!$B$8/(D115+F115-C115-E115)*((EXP(-(C115+E115)*B115)-EXP(-G115*B115))/(G115-C115-E115)-(EXP(-(D115+F115)*B115)-EXP(-G115*B115))/(G115-D115-F115))</x:f>
        <x:v>0.8791520500097711</x:v>
      </x:c>
      <x:c r="K115" s="30" t="n">
        <x:f>E115*Inputs!$B$8/(C115+E115)*(1-EXP(-(C115+E115)*B115))</x:f>
        <x:v>0.05040296781537289</x:v>
      </x:c>
      <x:c r="L115" s="30" t="n">
        <x:f>Inputs!$B$8-H115-I115-J115-K115</x:f>
        <x:v>1.0703405940795745</x:v>
      </x:c>
      <x:c r="M115" s="30" t="n">
        <x:f>(Inputs!$B$8-H115)/Inputs!$B$8</x:f>
        <x:v>0.9999999985095682</x:v>
      </x:c>
      <x:c r="N115" s="30" t="n">
        <x:f>J115/Inputs!$B$8</x:f>
        <x:v>0.4395760250048856</x:v>
      </x:c>
      <x:c r="O115" s="30" t="n">
        <x:f>J115/(Inputs!$B$8-H115)</x:f>
        <x:v>0.43957602566004367</x:v>
      </x:c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 ht="15" hidden="0" customHeight="1">
      <x:c r="A116" s="18" t="n">
        <x:v>403.15</x:v>
      </x:c>
      <x:c r="B116" s="50" t="n">
        <x:v>0.265</x:v>
      </x:c>
      <x:c r="C116" s="18" t="n">
        <x:f>VLOOKUP(A116,Inputs!$A$13:$F$15,2,FALSE)</x:f>
        <x:v>76.2</x:v>
      </x:c>
      <x:c r="D116" s="18" t="n">
        <x:f>VLOOKUP(A116,Inputs!$A$13:$F$15,3,FALSE)</x:f>
        <x:v>38.05</x:v>
      </x:c>
      <x:c r="E116" s="18" t="n">
        <x:f>VLOOKUP(A116,Inputs!$A$13:$F$15,4,FALSE)</x:f>
        <x:v>1.97</x:v>
      </x:c>
      <x:c r="F116" s="18" t="n">
        <x:f>VLOOKUP(A116,Inputs!$A$13:$F$15,5,FALSE)</x:f>
        <x:v>2.6</x:v>
      </x:c>
      <x:c r="G116" s="18" t="n">
        <x:f>VLOOKUP(A116,Inputs!$A$13:$F$15,6,FALSE)</x:f>
        <x:v>3.3</x:v>
      </x:c>
      <x:c r="H116" s="30" t="n">
        <x:f>Inputs!$B$8*EXP(-(C116+E116)*B116)</x:f>
        <x:v>2.0164993591061286e-9</x:v>
      </x:c>
      <x:c r="I116" s="30" t="n">
        <x:f>C116*Inputs!$B$8/(D116+F116-C116-E116)*(EXP(-(C116+E116)*B116)-EXP(-(D116+F116)*B116))</x:f>
        <x:v>0.00008518684354369728</x:v>
      </x:c>
      <x:c r="J116" s="30" t="n">
        <x:f>D116*C116*Inputs!$B$8/(D116+F116-C116-E116)*((EXP(-(C116+E116)*B116)-EXP(-G116*B116))/(G116-C116-E116)-(EXP(-(D116+F116)*B116)-EXP(-G116*B116))/(G116-D116-F116))</x:f>
        <x:v>0.8647828790429063</x:v>
      </x:c>
      <x:c r="K116" s="30" t="n">
        <x:f>E116*Inputs!$B$8/(C116+E116)*(1-EXP(-(C116+E116)*B116))</x:f>
        <x:v>0.050402967839676294</x:v>
      </x:c>
      <x:c r="L116" s="30" t="n">
        <x:f>Inputs!$B$8-H116-I116-J116-K116</x:f>
        <x:v>1.0847289642573743</x:v>
      </x:c>
      <x:c r="M116" s="30" t="n">
        <x:f>(Inputs!$B$8-H116)/Inputs!$B$8</x:f>
        <x:v>0.9999999989917503</x:v>
      </x:c>
      <x:c r="N116" s="30" t="n">
        <x:f>J116/Inputs!$B$8</x:f>
        <x:v>0.43239143952145315</x:v>
      </x:c>
      <x:c r="O116" s="30" t="n">
        <x:f>J116/(Inputs!$B$8-H116)</x:f>
        <x:v>0.4323914399574117</x:v>
      </x:c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 ht="15" hidden="0" customHeight="1">
      <x:c r="A117" s="18" t="n">
        <x:v>403.15</x:v>
      </x:c>
      <x:c r="B117" s="50" t="n">
        <x:v>0.27</x:v>
      </x:c>
      <x:c r="C117" s="18" t="n">
        <x:f>VLOOKUP(A117,Inputs!$A$13:$F$15,2,FALSE)</x:f>
        <x:v>76.2</x:v>
      </x:c>
      <x:c r="D117" s="18" t="n">
        <x:f>VLOOKUP(A117,Inputs!$A$13:$F$15,3,FALSE)</x:f>
        <x:v>38.05</x:v>
      </x:c>
      <x:c r="E117" s="18" t="n">
        <x:f>VLOOKUP(A117,Inputs!$A$13:$F$15,4,FALSE)</x:f>
        <x:v>1.97</x:v>
      </x:c>
      <x:c r="F117" s="18" t="n">
        <x:f>VLOOKUP(A117,Inputs!$A$13:$F$15,5,FALSE)</x:f>
        <x:v>2.6</x:v>
      </x:c>
      <x:c r="G117" s="18" t="n">
        <x:f>VLOOKUP(A117,Inputs!$A$13:$F$15,6,FALSE)</x:f>
        <x:v>3.3</x:v>
      </x:c>
      <x:c r="H117" s="30" t="n">
        <x:f>Inputs!$B$8*EXP(-(C117+E117)*B117)</x:f>
        <x:v>1.3641247545328734e-9</x:v>
      </x:c>
      <x:c r="I117" s="30" t="n">
        <x:f>C117*Inputs!$B$8/(D117+F117-C117-E117)*(EXP(-(C117+E117)*B117)-EXP(-(D117+F117)*B117))</x:f>
        <x:v>0.0000695193566509759</x:v>
      </x:c>
      <x:c r="J117" s="30" t="n">
        <x:f>D117*C117*Inputs!$B$8/(D117+F117-C117-E117)*((EXP(-(C117+E117)*B117)-EXP(-G117*B117))/(G117-C117-E117)-(EXP(-(D117+F117)*B117)-EXP(-G117*B117))/(G117-D117-F117))</x:f>
        <x:v>0.850645576904148</x:v>
      </x:c>
      <x:c r="K117" s="30" t="n">
        <x:f>E117*Inputs!$B$8/(C117+E117)*(1-EXP(-(C117+E117)*B117))</x:f>
        <x:v>0.0504029678561171</x:v>
      </x:c>
      <x:c r="L117" s="30" t="n">
        <x:f>Inputs!$B$8-H117-I117-J117-K117</x:f>
        <x:v>1.098881934518959</x:v>
      </x:c>
      <x:c r="M117" s="30" t="n">
        <x:f>(Inputs!$B$8-H117)/Inputs!$B$8</x:f>
        <x:v>0.9999999993179376</x:v>
      </x:c>
      <x:c r="N117" s="30" t="n">
        <x:f>J117/Inputs!$B$8</x:f>
        <x:v>0.425322788452074</x:v>
      </x:c>
      <x:c r="O117" s="30" t="n">
        <x:f>J117/(Inputs!$B$8-H117)</x:f>
        <x:v>0.42532278874217067</x:v>
      </x:c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 ht="15" hidden="0" customHeight="1">
      <x:c r="A118" s="18" t="n">
        <x:v>403.15</x:v>
      </x:c>
      <x:c r="B118" s="50" t="n">
        <x:v>0.275</x:v>
      </x:c>
      <x:c r="C118" s="18" t="n">
        <x:f>VLOOKUP(A118,Inputs!$A$13:$F$15,2,FALSE)</x:f>
        <x:v>76.2</x:v>
      </x:c>
      <x:c r="D118" s="18" t="n">
        <x:f>VLOOKUP(A118,Inputs!$A$13:$F$15,3,FALSE)</x:f>
        <x:v>38.05</x:v>
      </x:c>
      <x:c r="E118" s="18" t="n">
        <x:f>VLOOKUP(A118,Inputs!$A$13:$F$15,4,FALSE)</x:f>
        <x:v>1.97</x:v>
      </x:c>
      <x:c r="F118" s="18" t="n">
        <x:f>VLOOKUP(A118,Inputs!$A$13:$F$15,5,FALSE)</x:f>
        <x:v>2.6</x:v>
      </x:c>
      <x:c r="G118" s="18" t="n">
        <x:f>VLOOKUP(A118,Inputs!$A$13:$F$15,6,FALSE)</x:f>
        <x:v>3.3</x:v>
      </x:c>
      <x:c r="H118" s="30" t="n">
        <x:f>Inputs!$B$8*EXP(-(C118+E118)*B118)</x:f>
        <x:v>9.228053247456726e-10</x:v>
      </x:c>
      <x:c r="I118" s="30" t="n">
        <x:f>C118*Inputs!$B$8/(D118+F118-C118-E118)*(EXP(-(C118+E118)*B118)-EXP(-(D118+F118)*B118))</x:f>
        <x:v>0.00005673333991136723</x:v>
      </x:c>
      <x:c r="J118" s="30" t="n">
        <x:f>D118*C118*Inputs!$B$8/(D118+F118-C118-E118)*((EXP(-(C118+E118)*B118)-EXP(-G118*B118))/(G118-C118-E118)-(EXP(-(D118+F118)*B118)-EXP(-G118*B118))/(G118-D118-F118))</x:f>
        <x:v>0.8367369518676524</x:v>
      </x:c>
      <x:c r="K118" s="30" t="n">
        <x:f>E118*Inputs!$B$8/(C118+E118)*(1-EXP(-(C118+E118)*B118))</x:f>
        <x:v>0.05040296786723901</x:v>
      </x:c>
      <x:c r="L118" s="30" t="n">
        <x:f>Inputs!$B$8-H118-I118-J118-K118</x:f>
        <x:v>1.1128033460023918</x:v>
      </x:c>
      <x:c r="M118" s="30" t="n">
        <x:f>(Inputs!$B$8-H118)/Inputs!$B$8</x:f>
        <x:v>0.9999999995385973</x:v>
      </x:c>
      <x:c r="N118" s="30" t="n">
        <x:f>J118/Inputs!$B$8</x:f>
        <x:v>0.4183684759338262</x:v>
      </x:c>
      <x:c r="O118" s="30" t="n">
        <x:f>J118/(Inputs!$B$8-H118)</x:f>
        <x:v>0.41836847612686257</x:v>
      </x:c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 ht="15" hidden="0" customHeight="1">
      <x:c r="A119" s="18" t="n">
        <x:v>403.15</x:v>
      </x:c>
      <x:c r="B119" s="50" t="n">
        <x:v>0.28</x:v>
      </x:c>
      <x:c r="C119" s="18" t="n">
        <x:f>VLOOKUP(A119,Inputs!$A$13:$F$15,2,FALSE)</x:f>
        <x:v>76.2</x:v>
      </x:c>
      <x:c r="D119" s="18" t="n">
        <x:f>VLOOKUP(A119,Inputs!$A$13:$F$15,3,FALSE)</x:f>
        <x:v>38.05</x:v>
      </x:c>
      <x:c r="E119" s="18" t="n">
        <x:f>VLOOKUP(A119,Inputs!$A$13:$F$15,4,FALSE)</x:f>
        <x:v>1.97</x:v>
      </x:c>
      <x:c r="F119" s="18" t="n">
        <x:f>VLOOKUP(A119,Inputs!$A$13:$F$15,5,FALSE)</x:f>
        <x:v>2.6</x:v>
      </x:c>
      <x:c r="G119" s="18" t="n">
        <x:f>VLOOKUP(A119,Inputs!$A$13:$F$15,6,FALSE)</x:f>
        <x:v>3.3</x:v>
      </x:c>
      <x:c r="H119" s="30" t="n">
        <x:f>Inputs!$B$8*EXP(-(C119+E119)*B119)</x:f>
        <x:v>6.242608416490287e-10</x:v>
      </x:c>
      <x:c r="I119" s="30" t="n">
        <x:f>C119*Inputs!$B$8/(D119+F119-C119-E119)*(EXP(-(C119+E119)*B119)-EXP(-(D119+F119)*B119))</x:f>
        <x:v>0.000046298876448546066</x:v>
      </x:c>
      <x:c r="J119" s="30" t="n">
        <x:f>D119*C119*Inputs!$B$8/(D119+F119-C119-E119)*((EXP(-(C119+E119)*B119)-EXP(-G119*B119))/(G119-C119-E119)-(EXP(-(D119+F119)*B119)-EXP(-G119*B119))/(G119-D119-F119))</x:f>
        <x:v>0.8230537535970844</x:v>
      </x:c>
      <x:c r="K119" s="30" t="n">
        <x:f>E119*Inputs!$B$8/(C119+E119)*(1-EXP(-(C119+E119)*B119))</x:f>
        <x:v>0.050402967874762776</x:v>
      </x:c>
      <x:c r="L119" s="30" t="n">
        <x:f>Inputs!$B$8-H119-I119-J119-K119</x:f>
        <x:v>1.1264969790274433</x:v>
      </x:c>
      <x:c r="M119" s="30" t="n">
        <x:f>(Inputs!$B$8-H119)/Inputs!$B$8</x:f>
        <x:v>0.9999999996878696</x:v>
      </x:c>
      <x:c r="N119" s="30" t="n">
        <x:f>J119/Inputs!$B$8</x:f>
        <x:v>0.4115268767985422</x:v>
      </x:c>
      <x:c r="O119" s="30" t="n">
        <x:f>J119/(Inputs!$B$8-H119)</x:f>
        <x:v>0.4115268769269923</x:v>
      </x:c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 ht="15" hidden="0" customHeight="1">
      <x:c r="A120" s="18" t="n">
        <x:v>403.15</x:v>
      </x:c>
      <x:c r="B120" s="50" t="n">
        <x:v>0.28500000000000003</x:v>
      </x:c>
      <x:c r="C120" s="18" t="n">
        <x:f>VLOOKUP(A120,Inputs!$A$13:$F$15,2,FALSE)</x:f>
        <x:v>76.2</x:v>
      </x:c>
      <x:c r="D120" s="18" t="n">
        <x:f>VLOOKUP(A120,Inputs!$A$13:$F$15,3,FALSE)</x:f>
        <x:v>38.05</x:v>
      </x:c>
      <x:c r="E120" s="18" t="n">
        <x:f>VLOOKUP(A120,Inputs!$A$13:$F$15,4,FALSE)</x:f>
        <x:v>1.97</x:v>
      </x:c>
      <x:c r="F120" s="18" t="n">
        <x:f>VLOOKUP(A120,Inputs!$A$13:$F$15,5,FALSE)</x:f>
        <x:v>2.6</x:v>
      </x:c>
      <x:c r="G120" s="18" t="n">
        <x:f>VLOOKUP(A120,Inputs!$A$13:$F$15,6,FALSE)</x:f>
        <x:v>3.3</x:v>
      </x:c>
      <x:c r="H120" s="30" t="n">
        <x:f>Inputs!$B$8*EXP(-(C120+E120)*B120)</x:f>
        <x:v>4.2230098588102146e-10</x:v>
      </x:c>
      <x:c r="I120" s="30" t="n">
        <x:f>C120*Inputs!$B$8/(D120+F120-C120-E120)*(EXP(-(C120+E120)*B120)-EXP(-(D120+F120)*B120))</x:f>
        <x:v>0.0000377834954154845</x:v>
      </x:c>
      <x:c r="J120" s="30" t="n">
        <x:f>D120*C120*Inputs!$B$8/(D120+F120-C120-E120)*((EXP(-(C120+E120)*B120)-EXP(-G120*B120))/(G120-C120-E120)-(EXP(-(D120+F120)*B120)-EXP(-G120*B120))/(G120-D120-F120))</x:f>
        <x:v>0.8095926944869738</x:v>
      </x:c>
      <x:c r="K120" s="30" t="n">
        <x:f>E120*Inputs!$B$8/(C120+E120)*(1-EXP(-(C120+E120)*B120))</x:f>
        <x:v>0.05040296787985246</x:v>
      </x:c>
      <x:c r="L120" s="30" t="n">
        <x:f>Inputs!$B$8-H120-I120-J120-K120</x:f>
        <x:v>1.139966553715457</x:v>
      </x:c>
      <x:c r="M120" s="30" t="n">
        <x:f>(Inputs!$B$8-H120)/Inputs!$B$8</x:f>
        <x:v>0.9999999997888495</x:v>
      </x:c>
      <x:c r="N120" s="30" t="n">
        <x:f>J120/Inputs!$B$8</x:f>
        <x:v>0.4047963472434869</x:v>
      </x:c>
      <x:c r="O120" s="30" t="n">
        <x:f>J120/(Inputs!$B$8-H120)</x:f>
        <x:v>0.40479634732895986</x:v>
      </x:c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 ht="15" hidden="0" customHeight="1">
      <x:c r="A121" s="18" t="n">
        <x:v>403.15</x:v>
      </x:c>
      <x:c r="B121" s="50" t="n">
        <x:v>0.29</x:v>
      </x:c>
      <x:c r="C121" s="18" t="n">
        <x:f>VLOOKUP(A121,Inputs!$A$13:$F$15,2,FALSE)</x:f>
        <x:v>76.2</x:v>
      </x:c>
      <x:c r="D121" s="18" t="n">
        <x:f>VLOOKUP(A121,Inputs!$A$13:$F$15,3,FALSE)</x:f>
        <x:v>38.05</x:v>
      </x:c>
      <x:c r="E121" s="18" t="n">
        <x:f>VLOOKUP(A121,Inputs!$A$13:$F$15,4,FALSE)</x:f>
        <x:v>1.97</x:v>
      </x:c>
      <x:c r="F121" s="18" t="n">
        <x:f>VLOOKUP(A121,Inputs!$A$13:$F$15,5,FALSE)</x:f>
        <x:v>2.6</x:v>
      </x:c>
      <x:c r="G121" s="18" t="n">
        <x:f>VLOOKUP(A121,Inputs!$A$13:$F$15,6,FALSE)</x:f>
        <x:v>3.3</x:v>
      </x:c>
      <x:c r="H121" s="30" t="n">
        <x:f>Inputs!$B$8*EXP(-(C121+E121)*B121)</x:f>
        <x:v>2.8567885534032646e-10</x:v>
      </x:c>
      <x:c r="I121" s="30" t="n">
        <x:f>C121*Inputs!$B$8/(D121+F121-C121-E121)*(EXP(-(C121+E121)*B121)-EXP(-(D121+F121)*B121))</x:f>
        <x:v>0.000030834255417809566</x:v>
      </x:c>
      <x:c r="J121" s="30" t="n">
        <x:f>D121*C121*Inputs!$B$8/(D121+F121-C121-E121)*((EXP(-(C121+E121)*B121)-EXP(-G121*B121))/(G121-C121-E121)-(EXP(-(D121+F121)*B121)-EXP(-G121*B121))/(G121-D121-F121))</x:f>
        <x:v>0.7963504669074506</x:v>
      </x:c>
      <x:c r="K121" s="30" t="n">
        <x:f>E121*Inputs!$B$8/(C121+E121)*(1-EXP(-(C121+E121)*B121))</x:f>
        <x:v>0.05040296788329554</x:v>
      </x:c>
      <x:c r="L121" s="30" t="n">
        <x:f>Inputs!$B$8-H121-I121-J121-K121</x:f>
        <x:v>1.1532157306681572</x:v>
      </x:c>
      <x:c r="M121" s="30" t="n">
        <x:f>(Inputs!$B$8-H121)/Inputs!$B$8</x:f>
        <x:v>0.9999999998571606</x:v>
      </x:c>
      <x:c r="N121" s="30" t="n">
        <x:f>J121/Inputs!$B$8</x:f>
        <x:v>0.3981752334537253</x:v>
      </x:c>
      <x:c r="O121" s="30" t="n">
        <x:f>J121/(Inputs!$B$8-H121)</x:f>
        <x:v>0.3981752335106004</x:v>
      </x:c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 ht="15" hidden="0" customHeight="1">
      <x:c r="A122" s="18" t="n">
        <x:v>403.15</x:v>
      </x:c>
      <x:c r="B122" s="50" t="n">
        <x:v>0.295</x:v>
      </x:c>
      <x:c r="C122" s="18" t="n">
        <x:f>VLOOKUP(A122,Inputs!$A$13:$F$15,2,FALSE)</x:f>
        <x:v>76.2</x:v>
      </x:c>
      <x:c r="D122" s="18" t="n">
        <x:f>VLOOKUP(A122,Inputs!$A$13:$F$15,3,FALSE)</x:f>
        <x:v>38.05</x:v>
      </x:c>
      <x:c r="E122" s="18" t="n">
        <x:f>VLOOKUP(A122,Inputs!$A$13:$F$15,4,FALSE)</x:f>
        <x:v>1.97</x:v>
      </x:c>
      <x:c r="F122" s="18" t="n">
        <x:f>VLOOKUP(A122,Inputs!$A$13:$F$15,5,FALSE)</x:f>
        <x:v>2.6</x:v>
      </x:c>
      <x:c r="G122" s="18" t="n">
        <x:f>VLOOKUP(A122,Inputs!$A$13:$F$15,6,FALSE)</x:f>
        <x:v>3.3</x:v>
      </x:c>
      <x:c r="H122" s="30" t="n">
        <x:f>Inputs!$B$8*EXP(-(C122+E122)*B122)</x:f>
        <x:v>1.9325649505244647e-10</x:v>
      </x:c>
      <x:c r="I122" s="30" t="n">
        <x:f>C122*Inputs!$B$8/(D122+F122-C122-E122)*(EXP(-(C122+E122)*B122)-EXP(-(D122+F122)*B122))</x:f>
        <x:v>0.000025163121231863696</x:v>
      </x:c>
      <x:c r="J122" s="30" t="n">
        <x:f>D122*C122*Inputs!$B$8/(D122+F122-C122-E122)*((EXP(-(C122+E122)*B122)-EXP(-G122*B122))/(G122-C122-E122)-(EXP(-(D122+F122)*B122)-EXP(-G122*B122))/(G122-D122-F122))</x:f>
        <x:v>0.7833237571081829</x:v>
      </x:c>
      <x:c r="K122" s="30" t="n">
        <x:f>E122*Inputs!$B$8/(C122+E122)*(1-EXP(-(C122+E122)*B122))</x:f>
        <x:v>0.05040296788562472</x:v>
      </x:c>
      <x:c r="L122" s="30" t="n">
        <x:f>Inputs!$B$8-H122-I122-J122-K122</x:f>
        <x:v>1.166248111691704</x:v>
      </x:c>
      <x:c r="M122" s="30" t="n">
        <x:f>(Inputs!$B$8-H122)/Inputs!$B$8</x:f>
        <x:v>0.9999999999033717</x:v>
      </x:c>
      <x:c r="N122" s="30" t="n">
        <x:f>J122/Inputs!$B$8</x:f>
        <x:v>0.39166187855409146</x:v>
      </x:c>
      <x:c r="O122" s="30" t="n">
        <x:f>J122/(Inputs!$B$8-H122)</x:f>
        <x:v>0.3916618785919371</x:v>
      </x:c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 ht="15" hidden="0" customHeight="1">
      <x:c r="A123" s="18" t="n">
        <x:v>403.15</x:v>
      </x:c>
      <x:c r="B123" s="50" t="n">
        <x:v>0.3</x:v>
      </x:c>
      <x:c r="C123" s="18" t="n">
        <x:f>VLOOKUP(A123,Inputs!$A$13:$F$15,2,FALSE)</x:f>
        <x:v>76.2</x:v>
      </x:c>
      <x:c r="D123" s="18" t="n">
        <x:f>VLOOKUP(A123,Inputs!$A$13:$F$15,3,FALSE)</x:f>
        <x:v>38.05</x:v>
      </x:c>
      <x:c r="E123" s="18" t="n">
        <x:f>VLOOKUP(A123,Inputs!$A$13:$F$15,4,FALSE)</x:f>
        <x:v>1.97</x:v>
      </x:c>
      <x:c r="F123" s="18" t="n">
        <x:f>VLOOKUP(A123,Inputs!$A$13:$F$15,5,FALSE)</x:f>
        <x:v>2.6</x:v>
      </x:c>
      <x:c r="G123" s="18" t="n">
        <x:f>VLOOKUP(A123,Inputs!$A$13:$F$15,6,FALSE)</x:f>
        <x:v>3.3</x:v>
      </x:c>
      <x:c r="H123" s="30" t="n">
        <x:f>Inputs!$B$8*EXP(-(C123+E123)*B123)</x:f>
        <x:v>1.3073446697853737e-10</x:v>
      </x:c>
      <x:c r="I123" s="30" t="n">
        <x:f>C123*Inputs!$B$8/(D123+F123-C123-E123)*(EXP(-(C123+E123)*B123)-EXP(-(D123+F123)*B123))</x:f>
        <x:v>0.000020535028751056317</x:v>
      </x:c>
      <x:c r="J123" s="30" t="n">
        <x:f>D123*C123*Inputs!$B$8/(D123+F123-C123-E123)*((EXP(-(C123+E123)*B123)-EXP(-G123*B123))/(G123-C123-E123)-(EXP(-(D123+F123)*B123)-EXP(-G123*B123))/(G123-D123-F123))</x:f>
        <x:v>0.7705092563984186</x:v>
      </x:c>
      <x:c r="K123" s="30" t="n">
        <x:f>E123*Inputs!$B$8/(C123+E123)*(1-EXP(-(C123+E123)*B123))</x:f>
        <x:v>0.05040296788720037</x:v>
      </x:c>
      <x:c r="L123" s="30" t="n">
        <x:f>Inputs!$B$8-H123-I123-J123-K123</x:f>
        <x:v>1.1790672405548954</x:v>
      </x:c>
      <x:c r="M123" s="30" t="n">
        <x:f>(Inputs!$B$8-H123)/Inputs!$B$8</x:f>
        <x:v>0.9999999999346327</x:v>
      </x:c>
      <x:c r="N123" s="30" t="n">
        <x:f>J123/Inputs!$B$8</x:f>
        <x:v>0.3852546281992093</x:v>
      </x:c>
      <x:c r="O123" s="30" t="n">
        <x:f>J123/(Inputs!$B$8-H123)</x:f>
        <x:v>0.3852546282243923</x:v>
      </x:c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 ht="15" hidden="0" customHeight="1">
      <x:c r="A124" s="18" t="n">
        <x:v>423.15</x:v>
      </x:c>
      <x:c r="B124" s="50" t="n">
        <x:v>0.005</x:v>
      </x:c>
      <x:c r="C124" s="18" t="n">
        <x:f>VLOOKUP(A124,Inputs!$A$13:$F$15,2,FALSE)</x:f>
        <x:v>221.9</x:v>
      </x:c>
      <x:c r="D124" s="18" t="n">
        <x:f>VLOOKUP(A124,Inputs!$A$13:$F$15,3,FALSE)</x:f>
        <x:v>103.31</x:v>
      </x:c>
      <x:c r="E124" s="18" t="n">
        <x:f>VLOOKUP(A124,Inputs!$A$13:$F$15,4,FALSE)</x:f>
        <x:v>8.8</x:v>
      </x:c>
      <x:c r="F124" s="18" t="n">
        <x:f>VLOOKUP(A124,Inputs!$A$13:$F$15,5,FALSE)</x:f>
        <x:v>12.12</x:v>
      </x:c>
      <x:c r="G124" s="18" t="n">
        <x:f>VLOOKUP(A124,Inputs!$A$13:$F$15,6,FALSE)</x:f>
        <x:v>4.94</x:v>
      </x:c>
      <x:c r="H124" s="30" t="n">
        <x:f>Inputs!$B$8*EXP(-(C124+E124)*B124)</x:f>
        <x:v>0.6310609556515675</x:v>
      </x:c>
      <x:c r="I124" s="30" t="n">
        <x:f>C124*Inputs!$B$8/(D124+F124-C124-E124)*(EXP(-(C124+E124)*B124)-EXP(-(D124+F124)*B124))</x:f>
        <x:v>0.9469910244136395</x:v>
      </x:c>
      <x:c r="J124" s="30" t="n">
        <x:f>D124*C124*Inputs!$B$8/(D124+F124-C124-E124)*((EXP(-(C124+E124)*B124)-EXP(-G124*B124))/(G124-C124-E124)-(EXP(-(D124+F124)*B124)-EXP(-G124*B124))/(G124-D124-F124))</x:f>
        <x:v>0.3277996223151141</x:v>
      </x:c>
      <x:c r="K124" s="30" t="n">
        <x:f>E124*Inputs!$B$8/(C124+E124)*(1-EXP(-(C124+E124)*B124))</x:f>
        <x:v>0.052217874253429594</x:v>
      </x:c>
      <x:c r="L124" s="30" t="n">
        <x:f>Inputs!$B$8-H124-I124-J124-K124</x:f>
        <x:v>0.04193052336624943</x:v>
      </x:c>
      <x:c r="M124" s="30" t="n">
        <x:f>(Inputs!$B$8-H124)/Inputs!$B$8</x:f>
        <x:v>0.6844695221742163</x:v>
      </x:c>
      <x:c r="N124" s="30" t="n">
        <x:f>J124/Inputs!$B$8</x:f>
        <x:v>0.16389981115755706</x:v>
      </x:c>
      <x:c r="O124" s="30" t="n">
        <x:f>J124/(Inputs!$B$8-H124)</x:f>
        <x:v>0.2394552362783511</x:v>
      </x:c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 ht="15" hidden="0" customHeight="1">
      <x:c r="A125" s="18" t="n">
        <x:v>423.15</x:v>
      </x:c>
      <x:c r="B125" s="50" t="n">
        <x:v>0.01</x:v>
      </x:c>
      <x:c r="C125" s="18" t="n">
        <x:f>VLOOKUP(A125,Inputs!$A$13:$F$15,2,FALSE)</x:f>
        <x:v>221.9</x:v>
      </x:c>
      <x:c r="D125" s="18" t="n">
        <x:f>VLOOKUP(A125,Inputs!$A$13:$F$15,3,FALSE)</x:f>
        <x:v>103.31</x:v>
      </x:c>
      <x:c r="E125" s="18" t="n">
        <x:f>VLOOKUP(A125,Inputs!$A$13:$F$15,4,FALSE)</x:f>
        <x:v>8.8</x:v>
      </x:c>
      <x:c r="F125" s="18" t="n">
        <x:f>VLOOKUP(A125,Inputs!$A$13:$F$15,5,FALSE)</x:f>
        <x:v>12.12</x:v>
      </x:c>
      <x:c r="G125" s="18" t="n">
        <x:f>VLOOKUP(A125,Inputs!$A$13:$F$15,6,FALSE)</x:f>
        <x:v>4.94</x:v>
      </x:c>
      <x:c r="H125" s="30" t="n">
        <x:f>Inputs!$B$8*EXP(-(C125+E125)*B125)</x:f>
        <x:v>0.19911896487393482</x:v>
      </x:c>
      <x:c r="I125" s="30" t="n">
        <x:f>C125*Inputs!$B$8/(D125+F125-C125-E125)*(EXP(-(C125+E125)*B125)-EXP(-(D125+F125)*B125))</x:f>
        <x:v>0.8305365369232129</x:v>
      </x:c>
      <x:c r="J125" s="30" t="n">
        <x:f>D125*C125*Inputs!$B$8/(D125+F125-C125-E125)*((EXP(-(C125+E125)*B125)-EXP(-G125*B125))/(G125-C125-E125)-(EXP(-(D125+F125)*B125)-EXP(-G125*B125))/(G125-D125-F125))</x:f>
        <x:v>0.7899042700101799</x:v>
      </x:c>
      <x:c r="K125" s="30" t="n">
        <x:f>E125*Inputs!$B$8/(C125+E125)*(1-EXP(-(C125+E125)*B125))</x:f>
        <x:v>0.06869420506766091</x:v>
      </x:c>
      <x:c r="L125" s="30" t="n">
        <x:f>Inputs!$B$8-H125-I125-J125-K125</x:f>
        <x:v>0.11174602312501133</x:v>
      </x:c>
      <x:c r="M125" s="30" t="n">
        <x:f>(Inputs!$B$8-H125)/Inputs!$B$8</x:f>
        <x:v>0.9004405175630326</x:v>
      </x:c>
      <x:c r="N125" s="30" t="n">
        <x:f>J125/Inputs!$B$8</x:f>
        <x:v>0.39495213500508997</x:v>
      </x:c>
      <x:c r="O125" s="30" t="n">
        <x:f>J125/(Inputs!$B$8-H125)</x:f>
        <x:v>0.43862101638206497</x:v>
      </x:c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 ht="15" hidden="0" customHeight="1">
      <x:c r="A126" s="18" t="n">
        <x:v>423.15</x:v>
      </x:c>
      <x:c r="B126" s="50" t="n">
        <x:v>0.015</x:v>
      </x:c>
      <x:c r="C126" s="18" t="n">
        <x:f>VLOOKUP(A126,Inputs!$A$13:$F$15,2,FALSE)</x:f>
        <x:v>221.9</x:v>
      </x:c>
      <x:c r="D126" s="18" t="n">
        <x:f>VLOOKUP(A126,Inputs!$A$13:$F$15,3,FALSE)</x:f>
        <x:v>103.31</x:v>
      </x:c>
      <x:c r="E126" s="18" t="n">
        <x:f>VLOOKUP(A126,Inputs!$A$13:$F$15,4,FALSE)</x:f>
        <x:v>8.8</x:v>
      </x:c>
      <x:c r="F126" s="18" t="n">
        <x:f>VLOOKUP(A126,Inputs!$A$13:$F$15,5,FALSE)</x:f>
        <x:v>12.12</x:v>
      </x:c>
      <x:c r="G126" s="18" t="n">
        <x:f>VLOOKUP(A126,Inputs!$A$13:$F$15,6,FALSE)</x:f>
        <x:v>4.94</x:v>
      </x:c>
      <x:c r="H126" s="30" t="n">
        <x:f>Inputs!$B$8*EXP(-(C126+E126)*B126)</x:f>
        <x:v>0.06282810213084813</x:v>
      </x:c>
      <x:c r="I126" s="30" t="n">
        <x:f>C126*Inputs!$B$8/(D126+F126-C126-E126)*(EXP(-(C126+E126)*B126)-EXP(-(D126+F126)*B126))</x:f>
        <x:v>0.5606251727447301</x:v>
      </x:c>
      <x:c r="J126" s="30" t="n">
        <x:f>D126*C126*Inputs!$B$8/(D126+F126-C126-E126)*((EXP(-(C126+E126)*B126)-EXP(-G126*B126))/(G126-C126-E126)-(EXP(-(D126+F126)*B126)-EXP(-G126*B126))/(G126-D126-F126))</x:f>
        <x:v>1.1248487932849458</x:v>
      </x:c>
      <x:c r="K126" s="30" t="n">
        <x:f>E126*Inputs!$B$8/(C126+E126)*(1-EXP(-(C126+E126)*B126))</x:f>
        <x:v>0.07389298960229101</x:v>
      </x:c>
      <x:c r="L126" s="30" t="n">
        <x:f>Inputs!$B$8-H126-I126-J126-K126</x:f>
        <x:v>0.17780494223718485</x:v>
      </x:c>
      <x:c r="M126" s="30" t="n">
        <x:f>(Inputs!$B$8-H126)/Inputs!$B$8</x:f>
        <x:v>0.968585948934576</x:v>
      </x:c>
      <x:c r="N126" s="30" t="n">
        <x:f>J126/Inputs!$B$8</x:f>
        <x:v>0.5624243966424729</x:v>
      </x:c>
      <x:c r="O126" s="30" t="n">
        <x:f>J126/(Inputs!$B$8-H126)</x:f>
        <x:v>0.5806654507647234</x:v>
      </x:c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 ht="15" hidden="0" customHeight="1">
      <x:c r="A127" s="18" t="n">
        <x:v>423.15</x:v>
      </x:c>
      <x:c r="B127" s="50" t="n">
        <x:v>0.02</x:v>
      </x:c>
      <x:c r="C127" s="18" t="n">
        <x:f>VLOOKUP(A127,Inputs!$A$13:$F$15,2,FALSE)</x:f>
        <x:v>221.9</x:v>
      </x:c>
      <x:c r="D127" s="18" t="n">
        <x:f>VLOOKUP(A127,Inputs!$A$13:$F$15,3,FALSE)</x:f>
        <x:v>103.31</x:v>
      </x:c>
      <x:c r="E127" s="18" t="n">
        <x:f>VLOOKUP(A127,Inputs!$A$13:$F$15,4,FALSE)</x:f>
        <x:v>8.8</x:v>
      </x:c>
      <x:c r="F127" s="18" t="n">
        <x:f>VLOOKUP(A127,Inputs!$A$13:$F$15,5,FALSE)</x:f>
        <x:v>12.12</x:v>
      </x:c>
      <x:c r="G127" s="18" t="n">
        <x:f>VLOOKUP(A127,Inputs!$A$13:$F$15,6,FALSE)</x:f>
        <x:v>4.94</x:v>
      </x:c>
      <x:c r="H127" s="30" t="n">
        <x:f>Inputs!$B$8*EXP(-(C127+E127)*B127)</x:f>
        <x:v>0.019824181086233645</x:v>
      </x:c>
      <x:c r="I127" s="30" t="n">
        <x:f>C127*Inputs!$B$8/(D127+F127-C127-E127)*(EXP(-(C127+E127)*B127)-EXP(-(D127+F127)*B127))</x:f>
        <x:v>0.3445378142726526</x:v>
      </x:c>
      <x:c r="J127" s="30" t="n">
        <x:f>D127*C127*Inputs!$B$8/(D127+F127-C127-E127)*((EXP(-(C127+E127)*B127)-EXP(-G127*B127))/(G127-C127-E127)-(EXP(-(D127+F127)*B127)-EXP(-G127*B127))/(G127-D127-F127))</x:f>
        <x:v>1.3247748154764638</x:v>
      </x:c>
      <x:c r="K127" s="30" t="n">
        <x:f>E127*Inputs!$B$8/(C127+E127)*(1-EXP(-(C127+E127)*B127))</x:f>
        <x:v>0.07553336457061614</x:v>
      </x:c>
      <x:c r="L127" s="30" t="n">
        <x:f>Inputs!$B$8-H127-I127-J127-K127</x:f>
        <x:v>0.2353298245940339</x:v>
      </x:c>
      <x:c r="M127" s="30" t="n">
        <x:f>(Inputs!$B$8-H127)/Inputs!$B$8</x:f>
        <x:v>0.9900879094568832</x:v>
      </x:c>
      <x:c r="N127" s="30" t="n">
        <x:f>J127/Inputs!$B$8</x:f>
        <x:v>0.6623874077382319</x:v>
      </x:c>
      <x:c r="O127" s="30" t="n">
        <x:f>J127/(Inputs!$B$8-H127)</x:f>
        <x:v>0.6690187824852717</x:v>
      </x:c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 ht="15" hidden="0" customHeight="1">
      <x:c r="A128" s="18" t="n">
        <x:v>423.15</x:v>
      </x:c>
      <x:c r="B128" s="50" t="n">
        <x:v>0.025</x:v>
      </x:c>
      <x:c r="C128" s="18" t="n">
        <x:f>VLOOKUP(A128,Inputs!$A$13:$F$15,2,FALSE)</x:f>
        <x:v>221.9</x:v>
      </x:c>
      <x:c r="D128" s="18" t="n">
        <x:f>VLOOKUP(A128,Inputs!$A$13:$F$15,3,FALSE)</x:f>
        <x:v>103.31</x:v>
      </x:c>
      <x:c r="E128" s="18" t="n">
        <x:f>VLOOKUP(A128,Inputs!$A$13:$F$15,4,FALSE)</x:f>
        <x:v>8.8</x:v>
      </x:c>
      <x:c r="F128" s="18" t="n">
        <x:f>VLOOKUP(A128,Inputs!$A$13:$F$15,5,FALSE)</x:f>
        <x:v>12.12</x:v>
      </x:c>
      <x:c r="G128" s="18" t="n">
        <x:f>VLOOKUP(A128,Inputs!$A$13:$F$15,6,FALSE)</x:f>
        <x:v>4.94</x:v>
      </x:c>
      <x:c r="H128" s="30" t="n">
        <x:f>Inputs!$B$8*EXP(-(C128+E128)*B128)</x:f>
        <x:v>0.006255133330644167</x:v>
      </x:c>
      <x:c r="I128" s="30" t="n">
        <x:f>C128*Inputs!$B$8/(D128+F128-C128-E128)*(EXP(-(C128+E128)*B128)-EXP(-(D128+F128)*B128))</x:f>
        <x:v>0.20284338694809687</x:v>
      </x:c>
      <x:c r="J128" s="30" t="n">
        <x:f>D128*C128*Inputs!$B$8/(D128+F128-C128-E128)*((EXP(-(C128+E128)*B128)-EXP(-G128*B128))/(G128-C128-E128)-(EXP(-(D128+F128)*B128)-EXP(-G128*B128))/(G128-D128-F128))</x:f>
        <x:v>1.4291066079132508</x:v>
      </x:c>
      <x:c r="K128" s="30" t="n">
        <x:f>E128*Inputs!$B$8/(C128+E128)*(1-EXP(-(C128+E128)*B128))</x:f>
        <x:v>0.07605095286818522</x:v>
      </x:c>
      <x:c r="L128" s="30" t="n">
        <x:f>Inputs!$B$8-H128-I128-J128-K128</x:f>
        <x:v>0.285743918939823</x:v>
      </x:c>
      <x:c r="M128" s="30" t="n">
        <x:f>(Inputs!$B$8-H128)/Inputs!$B$8</x:f>
        <x:v>0.9968724333346779</x:v>
      </x:c>
      <x:c r="N128" s="30" t="n">
        <x:f>J128/Inputs!$B$8</x:f>
        <x:v>0.7145533039566254</x:v>
      </x:c>
      <x:c r="O128" s="30" t="n">
        <x:f>J128/(Inputs!$B$8-H128)</x:f>
        <x:v>0.7167951285064074</x:v>
      </x:c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 ht="15" hidden="0" customHeight="1">
      <x:c r="A129" s="18" t="n">
        <x:v>423.15</x:v>
      </x:c>
      <x:c r="B129" s="50" t="n">
        <x:v>0.03</x:v>
      </x:c>
      <x:c r="C129" s="18" t="n">
        <x:f>VLOOKUP(A129,Inputs!$A$13:$F$15,2,FALSE)</x:f>
        <x:v>221.9</x:v>
      </x:c>
      <x:c r="D129" s="18" t="n">
        <x:f>VLOOKUP(A129,Inputs!$A$13:$F$15,3,FALSE)</x:f>
        <x:v>103.31</x:v>
      </x:c>
      <x:c r="E129" s="18" t="n">
        <x:f>VLOOKUP(A129,Inputs!$A$13:$F$15,4,FALSE)</x:f>
        <x:v>8.8</x:v>
      </x:c>
      <x:c r="F129" s="18" t="n">
        <x:f>VLOOKUP(A129,Inputs!$A$13:$F$15,5,FALSE)</x:f>
        <x:v>12.12</x:v>
      </x:c>
      <x:c r="G129" s="18" t="n">
        <x:f>VLOOKUP(A129,Inputs!$A$13:$F$15,6,FALSE)</x:f>
        <x:v>4.94</x:v>
      </x:c>
      <x:c r="H129" s="30" t="n">
        <x:f>Inputs!$B$8*EXP(-(C129+E129)*B129)</x:f>
        <x:v>0.001973685208682142</x:v>
      </x:c>
      <x:c r="I129" s="30" t="n">
        <x:f>C129*Inputs!$B$8/(D129+F129-C129-E129)*(EXP(-(C129+E129)*B129)-EXP(-(D129+F129)*B129))</x:f>
        <x:v>0.1168575995535407</x:v>
      </x:c>
      <x:c r="J129" s="30" t="n">
        <x:f>D129*C129*Inputs!$B$8/(D129+F129-C129-E129)*((EXP(-(C129+E129)*B129)-EXP(-G129*B129))/(G129-C129-E129)-(EXP(-(D129+F129)*B129)-EXP(-G129*B129))/(G129-D129-F129))</x:f>
        <x:v>1.473805458558116</x:v>
      </x:c>
      <x:c r="K129" s="30" t="n">
        <x:f>E129*Inputs!$B$8/(C129+E129)*(1-EXP(-(C129+E129)*B129))</x:f>
        <x:v>0.07621426775103422</x:v>
      </x:c>
      <x:c r="L129" s="30" t="n">
        <x:f>Inputs!$B$8-H129-I129-J129-K129</x:f>
        <x:v>0.33114898892862676</x:v>
      </x:c>
      <x:c r="M129" s="30" t="n">
        <x:f>(Inputs!$B$8-H129)/Inputs!$B$8</x:f>
        <x:v>0.9990131573956589</x:v>
      </x:c>
      <x:c r="N129" s="30" t="n">
        <x:f>J129/Inputs!$B$8</x:f>
        <x:v>0.736902729279058</x:v>
      </x:c>
      <x:c r="O129" s="30" t="n">
        <x:f>J129/(Inputs!$B$8-H129)</x:f>
        <x:v>0.7376306546353202</x:v>
      </x:c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 ht="15" hidden="0" customHeight="1">
      <x:c r="A130" s="18" t="n">
        <x:v>423.15</x:v>
      </x:c>
      <x:c r="B130" s="50" t="n">
        <x:v>0.035</x:v>
      </x:c>
      <x:c r="C130" s="18" t="n">
        <x:f>VLOOKUP(A130,Inputs!$A$13:$F$15,2,FALSE)</x:f>
        <x:v>221.9</x:v>
      </x:c>
      <x:c r="D130" s="18" t="n">
        <x:f>VLOOKUP(A130,Inputs!$A$13:$F$15,3,FALSE)</x:f>
        <x:v>103.31</x:v>
      </x:c>
      <x:c r="E130" s="18" t="n">
        <x:f>VLOOKUP(A130,Inputs!$A$13:$F$15,4,FALSE)</x:f>
        <x:v>8.8</x:v>
      </x:c>
      <x:c r="F130" s="18" t="n">
        <x:f>VLOOKUP(A130,Inputs!$A$13:$F$15,5,FALSE)</x:f>
        <x:v>12.12</x:v>
      </x:c>
      <x:c r="G130" s="18" t="n">
        <x:f>VLOOKUP(A130,Inputs!$A$13:$F$15,6,FALSE)</x:f>
        <x:v>4.94</x:v>
      </x:c>
      <x:c r="H130" s="30" t="n">
        <x:f>Inputs!$B$8*EXP(-(C130+E130)*B130)</x:f>
        <x:v>0.000622757836973157</x:v>
      </x:c>
      <x:c r="I130" s="30" t="n">
        <x:f>C130*Inputs!$B$8/(D130+F130-C130-E130)*(EXP(-(C130+E130)*B130)-EXP(-(D130+F130)*B130))</x:f>
        <x:v>0.06654964705368652</x:v>
      </x:c>
      <x:c r="J130" s="30" t="n">
        <x:f>D130*C130*Inputs!$B$8/(D130+F130-C130-E130)*((EXP(-(C130+E130)*B130)-EXP(-G130*B130))/(G130-C130-E130)-(EXP(-(D130+F130)*B130)-EXP(-G130*B130))/(G130-D130-F130))</x:f>
        <x:v>1.4834186702013044</x:v>
      </x:c>
      <x:c r="K130" s="30" t="n">
        <x:f>E130*Inputs!$B$8/(C130+E130)*(1-EXP(-(C130+E130)*B130))</x:f>
        <x:v>0.07626579857405565</x:v>
      </x:c>
      <x:c r="L130" s="30" t="n">
        <x:f>Inputs!$B$8-H130-I130-J130-K130</x:f>
        <x:v>0.37314312633398034</x:v>
      </x:c>
      <x:c r="M130" s="30" t="n">
        <x:f>(Inputs!$B$8-H130)/Inputs!$B$8</x:f>
        <x:v>0.9996886210815135</x:v>
      </x:c>
      <x:c r="N130" s="30" t="n">
        <x:f>J130/Inputs!$B$8</x:f>
        <x:v>0.7417093351006522</x:v>
      </x:c>
      <x:c r="O130" s="30" t="n">
        <x:f>J130/(Inputs!$B$8-H130)</x:f>
        <x:v>0.7419403596874332</x:v>
      </x:c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 ht="15" hidden="0" customHeight="1">
      <x:c r="A131" s="18" t="n">
        <x:v>423.15</x:v>
      </x:c>
      <x:c r="B131" s="50" t="n">
        <x:v>0.04</x:v>
      </x:c>
      <x:c r="C131" s="18" t="n">
        <x:f>VLOOKUP(A131,Inputs!$A$13:$F$15,2,FALSE)</x:f>
        <x:v>221.9</x:v>
      </x:c>
      <x:c r="D131" s="18" t="n">
        <x:f>VLOOKUP(A131,Inputs!$A$13:$F$15,3,FALSE)</x:f>
        <x:v>103.31</x:v>
      </x:c>
      <x:c r="E131" s="18" t="n">
        <x:f>VLOOKUP(A131,Inputs!$A$13:$F$15,4,FALSE)</x:f>
        <x:v>8.8</x:v>
      </x:c>
      <x:c r="F131" s="18" t="n">
        <x:f>VLOOKUP(A131,Inputs!$A$13:$F$15,5,FALSE)</x:f>
        <x:v>12.12</x:v>
      </x:c>
      <x:c r="G131" s="18" t="n">
        <x:f>VLOOKUP(A131,Inputs!$A$13:$F$15,6,FALSE)</x:f>
        <x:v>4.94</x:v>
      </x:c>
      <x:c r="H131" s="30" t="n">
        <x:f>Inputs!$B$8*EXP(-(C131+E131)*B131)</x:f>
        <x:v>0.00019649907786989192</x:v>
      </x:c>
      <x:c r="I131" s="30" t="n">
        <x:f>C131*Inputs!$B$8/(D131+F131-C131-E131)*(EXP(-(C131+E131)*B131)-EXP(-(D131+F131)*B131))</x:f>
        <x:v>0.0376622571523579</x:v>
      </x:c>
      <x:c r="J131" s="30" t="n">
        <x:f>D131*C131*Inputs!$B$8/(D131+F131-C131-E131)*((EXP(-(C131+E131)*B131)-EXP(-G131*B131))/(G131-C131-E131)-(EXP(-(D131+F131)*B131)-EXP(-G131*B131))/(G131-D131-F131))</x:f>
        <x:v>1.473096877854998</x:v>
      </x:c>
      <x:c r="K131" s="30" t="n">
        <x:f>E131*Inputs!$B$8/(C131+E131)*(1-EXP(-(C131+E131)*B131))</x:f>
        <x:v>0.07628205811926635</x:v>
      </x:c>
      <x:c r="L131" s="30" t="n">
        <x:f>Inputs!$B$8-H131-I131-J131-K131</x:f>
        <x:v>0.41276230779550793</x:v>
      </x:c>
      <x:c r="M131" s="30" t="n">
        <x:f>(Inputs!$B$8-H131)/Inputs!$B$8</x:f>
        <x:v>0.9999017504610651</x:v>
      </x:c>
      <x:c r="N131" s="30" t="n">
        <x:f>J131/Inputs!$B$8</x:f>
        <x:v>0.736548438927499</x:v>
      </x:c>
      <x:c r="O131" s="30" t="n">
        <x:f>J131/(Inputs!$B$8-H131)</x:f>
        <x:v>0.7366208115826068</x:v>
      </x:c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 ht="15" hidden="0" customHeight="1">
      <x:c r="A132" s="18" t="n">
        <x:v>423.15</x:v>
      </x:c>
      <x:c r="B132" s="50" t="n">
        <x:v>0.045</x:v>
      </x:c>
      <x:c r="C132" s="18" t="n">
        <x:f>VLOOKUP(A132,Inputs!$A$13:$F$15,2,FALSE)</x:f>
        <x:v>221.9</x:v>
      </x:c>
      <x:c r="D132" s="18" t="n">
        <x:f>VLOOKUP(A132,Inputs!$A$13:$F$15,3,FALSE)</x:f>
        <x:v>103.31</x:v>
      </x:c>
      <x:c r="E132" s="18" t="n">
        <x:f>VLOOKUP(A132,Inputs!$A$13:$F$15,4,FALSE)</x:f>
        <x:v>8.8</x:v>
      </x:c>
      <x:c r="F132" s="18" t="n">
        <x:f>VLOOKUP(A132,Inputs!$A$13:$F$15,5,FALSE)</x:f>
        <x:v>12.12</x:v>
      </x:c>
      <x:c r="G132" s="18" t="n">
        <x:f>VLOOKUP(A132,Inputs!$A$13:$F$15,6,FALSE)</x:f>
        <x:v>4.94</x:v>
      </x:c>
      <x:c r="H132" s="30" t="n">
        <x:f>Inputs!$B$8*EXP(-(C132+E132)*B132)</x:f>
        <x:v>0.00006200144793261294</x:v>
      </x:c>
      <x:c r="I132" s="30" t="n">
        <x:f>C132*Inputs!$B$8/(D132+F132-C132-E132)*(EXP(-(C132+E132)*B132)-EXP(-(D132+F132)*B132))</x:f>
        <x:v>0.021240261466780447</x:v>
      </x:c>
      <x:c r="J132" s="30" t="n">
        <x:f>D132*C132*Inputs!$B$8/(D132+F132-C132-E132)*((EXP(-(C132+E132)*B132)-EXP(-G132*B132))/(G132-C132-E132)-(EXP(-(D132+F132)*B132)-EXP(-G132*B132))/(G132-D132-F132))</x:f>
        <x:v>1.4517719588299647</x:v>
      </x:c>
      <x:c r="K132" s="30" t="n">
        <x:f>E132*Inputs!$B$8/(C132+E132)*(1-EXP(-(C132+E132)*B132))</x:f>
        <x:v>0.0762871885013359</x:v>
      </x:c>
      <x:c r="L132" s="30" t="n">
        <x:f>Inputs!$B$8-H132-I132-J132-K132</x:f>
        <x:v>0.4506385897539864</x:v>
      </x:c>
      <x:c r="M132" s="30" t="n">
        <x:f>(Inputs!$B$8-H132)/Inputs!$B$8</x:f>
        <x:v>0.9999689992760337</x:v>
      </x:c>
      <x:c r="N132" s="30" t="n">
        <x:f>J132/Inputs!$B$8</x:f>
        <x:v>0.7258859794149823</x:v>
      </x:c>
      <x:c r="O132" s="30" t="n">
        <x:f>J132/(Inputs!$B$8-H132)</x:f>
        <x:v>0.7259084831034919</x:v>
      </x:c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 ht="15" hidden="0" customHeight="1">
      <x:c r="A133" s="18" t="n">
        <x:v>423.15</x:v>
      </x:c>
      <x:c r="B133" s="50" t="n">
        <x:v>0.05</x:v>
      </x:c>
      <x:c r="C133" s="18" t="n">
        <x:f>VLOOKUP(A133,Inputs!$A$13:$F$15,2,FALSE)</x:f>
        <x:v>221.9</x:v>
      </x:c>
      <x:c r="D133" s="18" t="n">
        <x:f>VLOOKUP(A133,Inputs!$A$13:$F$15,3,FALSE)</x:f>
        <x:v>103.31</x:v>
      </x:c>
      <x:c r="E133" s="18" t="n">
        <x:f>VLOOKUP(A133,Inputs!$A$13:$F$15,4,FALSE)</x:f>
        <x:v>8.8</x:v>
      </x:c>
      <x:c r="F133" s="18" t="n">
        <x:f>VLOOKUP(A133,Inputs!$A$13:$F$15,5,FALSE)</x:f>
        <x:v>12.12</x:v>
      </x:c>
      <x:c r="G133" s="18" t="n">
        <x:f>VLOOKUP(A133,Inputs!$A$13:$F$15,6,FALSE)</x:f>
        <x:v>4.94</x:v>
      </x:c>
      <x:c r="H133" s="30" t="n">
        <x:f>Inputs!$B$8*EXP(-(C133+E133)*B133)</x:f>
        <x:v>0.000019563346492067797</x:v>
      </x:c>
      <x:c r="I133" s="30" t="n">
        <x:f>C133*Inputs!$B$8/(D133+F133-C133-E133)*(EXP(-(C133+E133)*B133)-EXP(-(D133+F133)*B133))</x:f>
        <x:v>0.011955686756841073</x:v>
      </x:c>
      <x:c r="J133" s="30" t="n">
        <x:f>D133*C133*Inputs!$B$8/(D133+F133-C133-E133)*((EXP(-(C133+E133)*B133)-EXP(-G133*B133))/(G133-C133-E133)-(EXP(-(D133+F133)*B133)-EXP(-G133*B133))/(G133-D133-F133))</x:f>
        <x:v>1.4245867345715761</x:v>
      </x:c>
      <x:c r="K133" s="30" t="n">
        <x:f>E133*Inputs!$B$8/(C133+E133)*(1-EXP(-(C133+E133)*B133))</x:f>
        <x:v>0.07628880729324174</x:v>
      </x:c>
      <x:c r="L133" s="30" t="n">
        <x:f>Inputs!$B$8-H133-I133-J133-K133</x:f>
        <x:v>0.4871492080318489</x:v>
      </x:c>
      <x:c r="M133" s="30" t="n">
        <x:f>(Inputs!$B$8-H133)/Inputs!$B$8</x:f>
        <x:v>0.9999902183267539</x:v>
      </x:c>
      <x:c r="N133" s="30" t="n">
        <x:f>J133/Inputs!$B$8</x:f>
        <x:v>0.7122933672857881</x:v>
      </x:c>
      <x:c r="O133" s="30" t="n">
        <x:f>J133/(Inputs!$B$8-H133)</x:f>
        <x:v>0.7123003347749159</x:v>
      </x:c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 ht="15" hidden="0" customHeight="1">
      <x:c r="A134" s="18" t="n">
        <x:v>423.15</x:v>
      </x:c>
      <x:c r="B134" s="50" t="n">
        <x:v>0.055</x:v>
      </x:c>
      <x:c r="C134" s="18" t="n">
        <x:f>VLOOKUP(A134,Inputs!$A$13:$F$15,2,FALSE)</x:f>
        <x:v>221.9</x:v>
      </x:c>
      <x:c r="D134" s="18" t="n">
        <x:f>VLOOKUP(A134,Inputs!$A$13:$F$15,3,FALSE)</x:f>
        <x:v>103.31</x:v>
      </x:c>
      <x:c r="E134" s="18" t="n">
        <x:f>VLOOKUP(A134,Inputs!$A$13:$F$15,4,FALSE)</x:f>
        <x:v>8.8</x:v>
      </x:c>
      <x:c r="F134" s="18" t="n">
        <x:f>VLOOKUP(A134,Inputs!$A$13:$F$15,5,FALSE)</x:f>
        <x:v>12.12</x:v>
      </x:c>
      <x:c r="G134" s="18" t="n">
        <x:f>VLOOKUP(A134,Inputs!$A$13:$F$15,6,FALSE)</x:f>
        <x:v>4.94</x:v>
      </x:c>
      <x:c r="H134" s="30" t="n">
        <x:f>Inputs!$B$8*EXP(-(C134+E134)*B134)</x:f>
        <x:v>0.000006172832066513528</x:v>
      </x:c>
      <x:c r="I134" s="30" t="n">
        <x:f>C134*Inputs!$B$8/(D134+F134-C134-E134)*(EXP(-(C134+E134)*B134)-EXP(-(D134+F134)*B134))</x:f>
        <x:v>0.006722337667855268</x:v>
      </x:c>
      <x:c r="J134" s="30" t="n">
        <x:f>D134*C134*Inputs!$B$8/(D134+F134-C134-E134)*((EXP(-(C134+E134)*B134)-EXP(-G134*B134))/(G134-C134-E134)-(EXP(-(D134+F134)*B134)-EXP(-G134*B134))/(G134-D134-F134))</x:f>
        <x:v>1.394462852600604</x:v>
      </x:c>
      <x:c r="K134" s="30" t="n">
        <x:f>E134*Inputs!$B$8/(C134+E134)*(1-EXP(-(C134+E134)*B134))</x:f>
        <x:v>0.07628931807142529</x:v>
      </x:c>
      <x:c r="L134" s="30" t="n">
        <x:f>Inputs!$B$8-H134-I134-J134-K134</x:f>
        <x:v>0.5225193188280488</x:v>
      </x:c>
      <x:c r="M134" s="30" t="n">
        <x:f>(Inputs!$B$8-H134)/Inputs!$B$8</x:f>
        <x:v>0.9999969135839667</x:v>
      </x:c>
      <x:c r="N134" s="30" t="n">
        <x:f>J134/Inputs!$B$8</x:f>
        <x:v>0.697231426300302</x:v>
      </x:c>
      <x:c r="O134" s="30" t="n">
        <x:f>J134/(Inputs!$B$8-H134)</x:f>
        <x:v>0.6972335782531969</x:v>
      </x:c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 ht="15" hidden="0" customHeight="1">
      <x:c r="A135" s="18" t="n">
        <x:v>423.15</x:v>
      </x:c>
      <x:c r="B135" s="50" t="n">
        <x:v>0.06</x:v>
      </x:c>
      <x:c r="C135" s="18" t="n">
        <x:f>VLOOKUP(A135,Inputs!$A$13:$F$15,2,FALSE)</x:f>
        <x:v>221.9</x:v>
      </x:c>
      <x:c r="D135" s="18" t="n">
        <x:f>VLOOKUP(A135,Inputs!$A$13:$F$15,3,FALSE)</x:f>
        <x:v>103.31</x:v>
      </x:c>
      <x:c r="E135" s="18" t="n">
        <x:f>VLOOKUP(A135,Inputs!$A$13:$F$15,4,FALSE)</x:f>
        <x:v>8.8</x:v>
      </x:c>
      <x:c r="F135" s="18" t="n">
        <x:f>VLOOKUP(A135,Inputs!$A$13:$F$15,5,FALSE)</x:f>
        <x:v>12.12</x:v>
      </x:c>
      <x:c r="G135" s="18" t="n">
        <x:f>VLOOKUP(A135,Inputs!$A$13:$F$15,6,FALSE)</x:f>
        <x:v>4.94</x:v>
      </x:c>
      <x:c r="H135" s="30" t="n">
        <x:f>Inputs!$B$8*EXP(-(C135+E135)*B135)</x:f>
        <x:v>0.0000019477166514853354</x:v>
      </x:c>
      <x:c r="I135" s="30" t="n">
        <x:f>C135*Inputs!$B$8/(D135+F135-C135-E135)*(EXP(-(C135+E135)*B135)-EXP(-(D135+F135)*B135))</x:f>
        <x:v>0.0037774908921413323</x:v>
      </x:c>
      <x:c r="J135" s="30" t="n">
        <x:f>D135*C135*Inputs!$B$8/(D135+F135-C135-E135)*((EXP(-(C135+E135)*B135)-EXP(-G135*B135))/(G135-C135-E135)-(EXP(-(D135+F135)*B135)-EXP(-G135*B135))/(G135-D135-F135))</x:f>
        <x:v>1.363045388843391</x:v>
      </x:c>
      <x:c r="K135" s="30" t="n">
        <x:f>E135*Inputs!$B$8/(C135+E135)*(1-EXP(-(C135+E135)*B135))</x:f>
        <x:v>0.0762894792375096</x:v>
      </x:c>
      <x:c r="L135" s="30" t="n">
        <x:f>Inputs!$B$8-H135-I135-J135-K135</x:f>
        <x:v>0.5568856933103065</x:v>
      </x:c>
      <x:c r="M135" s="30" t="n">
        <x:f>(Inputs!$B$8-H135)/Inputs!$B$8</x:f>
        <x:v>0.9999990261416742</x:v>
      </x:c>
      <x:c r="N135" s="30" t="n">
        <x:f>J135/Inputs!$B$8</x:f>
        <x:v>0.6815226944216956</x:v>
      </x:c>
      <x:c r="O135" s="30" t="n">
        <x:f>J135/(Inputs!$B$8-H135)</x:f>
        <x:v>0.6815233581288921</x:v>
      </x:c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 ht="15" hidden="0" customHeight="1">
      <x:c r="A136" s="18" t="n">
        <x:v>423.15</x:v>
      </x:c>
      <x:c r="B136" s="50" t="n">
        <x:v>0.065</x:v>
      </x:c>
      <x:c r="C136" s="18" t="n">
        <x:f>VLOOKUP(A136,Inputs!$A$13:$F$15,2,FALSE)</x:f>
        <x:v>221.9</x:v>
      </x:c>
      <x:c r="D136" s="18" t="n">
        <x:f>VLOOKUP(A136,Inputs!$A$13:$F$15,3,FALSE)</x:f>
        <x:v>103.31</x:v>
      </x:c>
      <x:c r="E136" s="18" t="n">
        <x:f>VLOOKUP(A136,Inputs!$A$13:$F$15,4,FALSE)</x:f>
        <x:v>8.8</x:v>
      </x:c>
      <x:c r="F136" s="18" t="n">
        <x:f>VLOOKUP(A136,Inputs!$A$13:$F$15,5,FALSE)</x:f>
        <x:v>12.12</x:v>
      </x:c>
      <x:c r="G136" s="18" t="n">
        <x:f>VLOOKUP(A136,Inputs!$A$13:$F$15,6,FALSE)</x:f>
        <x:v>4.94</x:v>
      </x:c>
      <x:c r="H136" s="30" t="n">
        <x:f>Inputs!$B$8*EXP(-(C136+E136)*B136)</x:f>
        <x:v>6.145639657124028e-7</x:v>
      </x:c>
      <x:c r="I136" s="30" t="n">
        <x:f>C136*Inputs!$B$8/(D136+F136-C136-E136)*(EXP(-(C136+E136)*B136)-EXP(-(D136+F136)*B136))</x:f>
        <x:v>0.0021219695943670543</x:v>
      </x:c>
      <x:c r="J136" s="30" t="n">
        <x:f>D136*C136*Inputs!$B$8/(D136+F136-C136-E136)*((EXP(-(C136+E136)*B136)-EXP(-G136*B136))/(G136-C136-E136)-(EXP(-(D136+F136)*B136)-EXP(-G136*B136))/(G136-D136-F136))</x:f>
        <x:v>1.331253505066269</x:v>
      </x:c>
      <x:c r="K136" s="30" t="n">
        <x:f>E136*Inputs!$B$8/(C136+E136)*(1-EXP(-(C136+E136)*B136))</x:f>
        <x:v>0.0762895300903212</x:v>
      </x:c>
      <x:c r="L136" s="30" t="n">
        <x:f>Inputs!$B$8-H136-I136-J136-K136</x:f>
        <x:v>0.5903343806850769</x:v>
      </x:c>
      <x:c r="M136" s="30" t="n">
        <x:f>(Inputs!$B$8-H136)/Inputs!$B$8</x:f>
        <x:v>0.9999996927180171</x:v>
      </x:c>
      <x:c r="N136" s="30" t="n">
        <x:f>J136/Inputs!$B$8</x:f>
        <x:v>0.6656267525331345</x:v>
      </x:c>
      <x:c r="O136" s="30" t="n">
        <x:f>J136/(Inputs!$B$8-H136)</x:f>
        <x:v>0.6656269570683058</x:v>
      </x:c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 ht="15" hidden="0" customHeight="1">
      <x:c r="A137" s="18" t="n">
        <x:v>423.15</x:v>
      </x:c>
      <x:c r="B137" s="50" t="n">
        <x:v>0.07</x:v>
      </x:c>
      <x:c r="C137" s="18" t="n">
        <x:f>VLOOKUP(A137,Inputs!$A$13:$F$15,2,FALSE)</x:f>
        <x:v>221.9</x:v>
      </x:c>
      <x:c r="D137" s="18" t="n">
        <x:f>VLOOKUP(A137,Inputs!$A$13:$F$15,3,FALSE)</x:f>
        <x:v>103.31</x:v>
      </x:c>
      <x:c r="E137" s="18" t="n">
        <x:f>VLOOKUP(A137,Inputs!$A$13:$F$15,4,FALSE)</x:f>
        <x:v>8.8</x:v>
      </x:c>
      <x:c r="F137" s="18" t="n">
        <x:f>VLOOKUP(A137,Inputs!$A$13:$F$15,5,FALSE)</x:f>
        <x:v>12.12</x:v>
      </x:c>
      <x:c r="G137" s="18" t="n">
        <x:f>VLOOKUP(A137,Inputs!$A$13:$F$15,6,FALSE)</x:f>
        <x:v>4.94</x:v>
      </x:c>
      <x:c r="H137" s="30" t="n">
        <x:f>Inputs!$B$8*EXP(-(C137+E137)*B137)</x:f>
        <x:v>1.9391366175574253e-7</x:v>
      </x:c>
      <x:c r="I137" s="30" t="n">
        <x:f>C137*Inputs!$B$8/(D137+F137-C137-E137)*(EXP(-(C137+E137)*B137)-EXP(-(D137+F137)*B137))</x:f>
        <x:v>0.0011917691816069034</x:v>
      </x:c>
      <x:c r="J137" s="30" t="n">
        <x:f>D137*C137*Inputs!$B$8/(D137+F137-C137-E137)*((EXP(-(C137+E137)*B137)-EXP(-G137*B137))/(G137-C137-E137)-(EXP(-(D137+F137)*B137)-EXP(-G137*B137))/(G137-D137-F137))</x:f>
        <x:v>1.2995960321157225</x:v>
      </x:c>
      <x:c r="K137" s="30" t="n">
        <x:f>E137*Inputs!$B$8/(C137+E137)*(1-EXP(-(C137+E137)*B137))</x:f>
        <x:v>0.07628954613593314</x:v>
      </x:c>
      <x:c r="L137" s="30" t="n">
        <x:f>Inputs!$B$8-H137-I137-J137-K137</x:f>
        <x:v>0.6229224586530757</x:v>
      </x:c>
      <x:c r="M137" s="30" t="n">
        <x:f>(Inputs!$B$8-H137)/Inputs!$B$8</x:f>
        <x:v>0.9999999030431691</x:v>
      </x:c>
      <x:c r="N137" s="30" t="n">
        <x:f>J137/Inputs!$B$8</x:f>
        <x:v>0.6497980160578612</x:v>
      </x:c>
      <x:c r="O137" s="30" t="n">
        <x:f>J137/(Inputs!$B$8-H137)</x:f>
        <x:v>0.6497980790602237</x:v>
      </x:c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 ht="15" hidden="0" customHeight="1">
      <x:c r="A138" s="18" t="n">
        <x:v>423.15</x:v>
      </x:c>
      <x:c r="B138" s="50" t="n">
        <x:v>0.075</x:v>
      </x:c>
      <x:c r="C138" s="18" t="n">
        <x:f>VLOOKUP(A138,Inputs!$A$13:$F$15,2,FALSE)</x:f>
        <x:v>221.9</x:v>
      </x:c>
      <x:c r="D138" s="18" t="n">
        <x:f>VLOOKUP(A138,Inputs!$A$13:$F$15,3,FALSE)</x:f>
        <x:v>103.31</x:v>
      </x:c>
      <x:c r="E138" s="18" t="n">
        <x:f>VLOOKUP(A138,Inputs!$A$13:$F$15,4,FALSE)</x:f>
        <x:v>8.8</x:v>
      </x:c>
      <x:c r="F138" s="18" t="n">
        <x:f>VLOOKUP(A138,Inputs!$A$13:$F$15,5,FALSE)</x:f>
        <x:v>12.12</x:v>
      </x:c>
      <x:c r="G138" s="18" t="n">
        <x:f>VLOOKUP(A138,Inputs!$A$13:$F$15,6,FALSE)</x:f>
        <x:v>4.94</x:v>
      </x:c>
      <x:c r="H138" s="30" t="n">
        <x:f>Inputs!$B$8*EXP(-(C138+E138)*B138)</x:f>
        <x:v>6.118567035073702e-8</x:v>
      </x:c>
      <x:c r="I138" s="30" t="n">
        <x:f>C138*Inputs!$B$8/(D138+F138-C138-E138)*(EXP(-(C138+E138)*B138)-EXP(-(D138+F138)*B138))</x:f>
        <x:v>0.0006692658662899112</x:v>
      </x:c>
      <x:c r="J138" s="30" t="n">
        <x:f>D138*C138*Inputs!$B$8/(D138+F138-C138-E138)*((EXP(-(C138+E138)*B138)-EXP(-G138*B138))/(G138-C138-E138)-(EXP(-(D138+F138)*B138)-EXP(-G138*B138))/(G138-D138-F138))</x:f>
        <x:v>1.2683506817790662</x:v>
      </x:c>
      <x:c r="K138" s="30" t="n">
        <x:f>E138*Inputs!$B$8/(C138+E138)*(1-EXP(-(C138+E138)*B138))</x:f>
        <x:v>0.07628955119881276</x:v>
      </x:c>
      <x:c r="L138" s="30" t="n">
        <x:f>Inputs!$B$8-H138-I138-J138-K138</x:f>
        <x:v>0.6546904399701609</x:v>
      </x:c>
      <x:c r="M138" s="30" t="n">
        <x:f>(Inputs!$B$8-H138)/Inputs!$B$8</x:f>
        <x:v>0.9999999694071648</x:v>
      </x:c>
      <x:c r="N138" s="30" t="n">
        <x:f>J138/Inputs!$B$8</x:f>
        <x:v>0.6341753408895331</x:v>
      </x:c>
      <x:c r="O138" s="30" t="n">
        <x:f>J138/(Inputs!$B$8-H138)</x:f>
        <x:v>0.6341753602907554</x:v>
      </x:c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 ht="15" hidden="0" customHeight="1">
      <x:c r="A139" s="18" t="n">
        <x:v>423.15</x:v>
      </x:c>
      <x:c r="B139" s="50" t="n">
        <x:v>0.08</x:v>
      </x:c>
      <x:c r="C139" s="18" t="n">
        <x:f>VLOOKUP(A139,Inputs!$A$13:$F$15,2,FALSE)</x:f>
        <x:v>221.9</x:v>
      </x:c>
      <x:c r="D139" s="18" t="n">
        <x:f>VLOOKUP(A139,Inputs!$A$13:$F$15,3,FALSE)</x:f>
        <x:v>103.31</x:v>
      </x:c>
      <x:c r="E139" s="18" t="n">
        <x:f>VLOOKUP(A139,Inputs!$A$13:$F$15,4,FALSE)</x:f>
        <x:v>8.8</x:v>
      </x:c>
      <x:c r="F139" s="18" t="n">
        <x:f>VLOOKUP(A139,Inputs!$A$13:$F$15,5,FALSE)</x:f>
        <x:v>12.12</x:v>
      </x:c>
      <x:c r="G139" s="18" t="n">
        <x:f>VLOOKUP(A139,Inputs!$A$13:$F$15,6,FALSE)</x:f>
        <x:v>4.94</x:v>
      </x:c>
      <x:c r="H139" s="30" t="n">
        <x:f>Inputs!$B$8*EXP(-(C139+E139)*B139)</x:f>
        <x:v>1.9305943801858923e-8</x:v>
      </x:c>
      <x:c r="I139" s="30" t="n">
        <x:f>C139*Inputs!$B$8/(D139+F139-C139-E139)*(EXP(-(C139+E139)*B139)-EXP(-(D139+F139)*B139))</x:f>
        <x:v>0.00037581931422211133</x:v>
      </x:c>
      <x:c r="J139" s="30" t="n">
        <x:f>D139*C139*Inputs!$B$8/(D139+F139-C139-E139)*((EXP(-(C139+E139)*B139)-EXP(-G139*B139))/(G139-C139-E139)-(EXP(-(D139+F139)*B139)-EXP(-G139*B139))/(G139-D139-F139))</x:f>
        <x:v>1.2376653052832105</x:v>
      </x:c>
      <x:c r="K139" s="30" t="n">
        <x:f>E139*Inputs!$B$8/(C139+E139)*(1-EXP(-(C139+E139)*B139))</x:f>
        <x:v>0.07628955279630557</x:v>
      </x:c>
      <x:c r="L139" s="30" t="n">
        <x:f>Inputs!$B$8-H139-I139-J139-K139</x:f>
        <x:v>0.6856693033003182</x:v>
      </x:c>
      <x:c r="M139" s="30" t="n">
        <x:f>(Inputs!$B$8-H139)/Inputs!$B$8</x:f>
        <x:v>0.9999999903470281</x:v>
      </x:c>
      <x:c r="N139" s="30" t="n">
        <x:f>J139/Inputs!$B$8</x:f>
        <x:v>0.6188326526416053</x:v>
      </x:c>
      <x:c r="O139" s="30" t="n">
        <x:f>J139/(Inputs!$B$8-H139)</x:f>
        <x:v>0.6188326586151794</x:v>
      </x:c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 ht="15" hidden="0" customHeight="1">
      <x:c r="A140" s="18" t="n">
        <x:v>423.15</x:v>
      </x:c>
      <x:c r="B140" s="50" t="n">
        <x:v>0.085</x:v>
      </x:c>
      <x:c r="C140" s="18" t="n">
        <x:f>VLOOKUP(A140,Inputs!$A$13:$F$15,2,FALSE)</x:f>
        <x:v>221.9</x:v>
      </x:c>
      <x:c r="D140" s="18" t="n">
        <x:f>VLOOKUP(A140,Inputs!$A$13:$F$15,3,FALSE)</x:f>
        <x:v>103.31</x:v>
      </x:c>
      <x:c r="E140" s="18" t="n">
        <x:f>VLOOKUP(A140,Inputs!$A$13:$F$15,4,FALSE)</x:f>
        <x:v>8.8</x:v>
      </x:c>
      <x:c r="F140" s="18" t="n">
        <x:f>VLOOKUP(A140,Inputs!$A$13:$F$15,5,FALSE)</x:f>
        <x:v>12.12</x:v>
      </x:c>
      <x:c r="G140" s="18" t="n">
        <x:f>VLOOKUP(A140,Inputs!$A$13:$F$15,6,FALSE)</x:f>
        <x:v>4.94</x:v>
      </x:c>
      <x:c r="H140" s="30" t="n">
        <x:f>Inputs!$B$8*EXP(-(C140+E140)*B140)</x:f>
        <x:v>6.091613672678269e-9</x:v>
      </x:c>
      <x:c r="I140" s="30" t="n">
        <x:f>C140*Inputs!$B$8/(D140+F140-C140-E140)*(EXP(-(C140+E140)*B140)-EXP(-(D140+F140)*B140))</x:f>
        <x:v>0.00021103031558505005</x:v>
      </x:c>
      <x:c r="J140" s="30" t="n">
        <x:f>D140*C140*Inputs!$B$8/(D140+F140-C140-E140)*((EXP(-(C140+E140)*B140)-EXP(-G140*B140))/(G140-C140-E140)-(EXP(-(D140+F140)*B140)-EXP(-G140*B140))/(G140-D140-F140))</x:f>
        <x:v>1.2076149454982266</x:v>
      </x:c>
      <x:c r="K140" s="30" t="n">
        <x:f>E140*Inputs!$B$8/(C140+E140)*(1-EXP(-(C140+E140)*B140))</x:f>
        <x:v>0.07628955330036324</x:v>
      </x:c>
      <x:c r="L140" s="30" t="n">
        <x:f>Inputs!$B$8-H140-I140-J140-K140</x:f>
        <x:v>0.7158844647942114</x:v>
      </x:c>
      <x:c r="M140" s="30" t="n">
        <x:f>(Inputs!$B$8-H140)/Inputs!$B$8</x:f>
        <x:v>0.9999999969541932</x:v>
      </x:c>
      <x:c r="N140" s="30" t="n">
        <x:f>J140/Inputs!$B$8</x:f>
        <x:v>0.6038074727491133</x:v>
      </x:c>
      <x:c r="O140" s="30" t="n">
        <x:f>J140/(Inputs!$B$8-H140)</x:f>
        <x:v>0.6038074745881942</x:v>
      </x:c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 ht="15" hidden="0" customHeight="1">
      <x:c r="A141" s="18" t="n">
        <x:v>423.15</x:v>
      </x:c>
      <x:c r="B141" s="50" t="n">
        <x:v>0.09</x:v>
      </x:c>
      <x:c r="C141" s="18" t="n">
        <x:f>VLOOKUP(A141,Inputs!$A$13:$F$15,2,FALSE)</x:f>
        <x:v>221.9</x:v>
      </x:c>
      <x:c r="D141" s="18" t="n">
        <x:f>VLOOKUP(A141,Inputs!$A$13:$F$15,3,FALSE)</x:f>
        <x:v>103.31</x:v>
      </x:c>
      <x:c r="E141" s="18" t="n">
        <x:f>VLOOKUP(A141,Inputs!$A$13:$F$15,4,FALSE)</x:f>
        <x:v>8.8</x:v>
      </x:c>
      <x:c r="F141" s="18" t="n">
        <x:f>VLOOKUP(A141,Inputs!$A$13:$F$15,5,FALSE)</x:f>
        <x:v>12.12</x:v>
      </x:c>
      <x:c r="G141" s="18" t="n">
        <x:f>VLOOKUP(A141,Inputs!$A$13:$F$15,6,FALSE)</x:f>
        <x:v>4.94</x:v>
      </x:c>
      <x:c r="H141" s="30" t="n">
        <x:f>Inputs!$B$8*EXP(-(C141+E141)*B141)</x:f>
        <x:v>1.9220897728702567e-9</x:v>
      </x:c>
      <x:c r="I141" s="30" t="n">
        <x:f>C141*Inputs!$B$8/(D141+F141-C141-E141)*(EXP(-(C141+E141)*B141)-EXP(-(D141+F141)*B141))</x:f>
        <x:v>0.00011849563691654705</x:v>
      </x:c>
      <x:c r="J141" s="30" t="n">
        <x:f>D141*C141*Inputs!$B$8/(D141+F141-C141-E141)*((EXP(-(C141+E141)*B141)-EXP(-G141*B141))/(G141-C141-E141)-(EXP(-(D141+F141)*B141)-EXP(-G141*B141))/(G141-D141-F141))</x:f>
        <x:v>1.1782339300524558</x:v>
      </x:c>
      <x:c r="K141" s="30" t="n">
        <x:f>E141*Inputs!$B$8/(C141+E141)*(1-EXP(-(C141+E141)*B141))</x:f>
        <x:v>0.0762895534594088</x:v>
      </x:c>
      <x:c r="L141" s="30" t="n">
        <x:f>Inputs!$B$8-H141-I141-J141-K141</x:f>
        <x:v>0.7453580189291291</x:v>
      </x:c>
      <x:c r="M141" s="30" t="n">
        <x:f>(Inputs!$B$8-H141)/Inputs!$B$8</x:f>
        <x:v>0.9999999990389551</x:v>
      </x:c>
      <x:c r="N141" s="30" t="n">
        <x:f>J141/Inputs!$B$8</x:f>
        <x:v>0.5891169650262279</x:v>
      </x:c>
      <x:c r="O141" s="30" t="n">
        <x:f>J141/(Inputs!$B$8-H141)</x:f>
        <x:v>0.5891169655923958</x:v>
      </x:c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 ht="15" hidden="0" customHeight="1">
      <x:c r="A142" s="18" t="n">
        <x:v>423.15</x:v>
      </x:c>
      <x:c r="B142" s="50" t="n">
        <x:v>0.095</x:v>
      </x:c>
      <x:c r="C142" s="18" t="n">
        <x:f>VLOOKUP(A142,Inputs!$A$13:$F$15,2,FALSE)</x:f>
        <x:v>221.9</x:v>
      </x:c>
      <x:c r="D142" s="18" t="n">
        <x:f>VLOOKUP(A142,Inputs!$A$13:$F$15,3,FALSE)</x:f>
        <x:v>103.31</x:v>
      </x:c>
      <x:c r="E142" s="18" t="n">
        <x:f>VLOOKUP(A142,Inputs!$A$13:$F$15,4,FALSE)</x:f>
        <x:v>8.8</x:v>
      </x:c>
      <x:c r="F142" s="18" t="n">
        <x:f>VLOOKUP(A142,Inputs!$A$13:$F$15,5,FALSE)</x:f>
        <x:v>12.12</x:v>
      </x:c>
      <x:c r="G142" s="18" t="n">
        <x:f>VLOOKUP(A142,Inputs!$A$13:$F$15,6,FALSE)</x:f>
        <x:v>4.94</x:v>
      </x:c>
      <x:c r="H142" s="30" t="n">
        <x:f>Inputs!$B$8*EXP(-(C142+E142)*B142)</x:f>
        <x:v>6.064779044578037e-10</x:v>
      </x:c>
      <x:c r="I142" s="30" t="n">
        <x:f>C142*Inputs!$B$8/(D142+F142-C142-E142)*(EXP(-(C142+E142)*B142)-EXP(-(D142+F142)*B142))</x:f>
        <x:v>0.00006653577807108681</x:v>
      </x:c>
      <x:c r="J142" s="30" t="n">
        <x:f>D142*C142*Inputs!$B$8/(D142+F142-C142-E142)*((EXP(-(C142+E142)*B142)-EXP(-G142*B142))/(G142-C142-E142)-(EXP(-(D142+F142)*B142)-EXP(-G142*B142))/(G142-D142-F142))</x:f>
        <x:v>1.149533906732614</x:v>
      </x:c>
      <x:c r="K142" s="30" t="n">
        <x:f>E142*Inputs!$B$8/(C142+E142)*(1-EXP(-(C142+E142)*B142))</x:f>
        <x:v>0.07628955350959252</x:v>
      </x:c>
      <x:c r="L142" s="30" t="n">
        <x:f>Inputs!$B$8-H142-I142-J142-K142</x:f>
        <x:v>0.7741100033732443</x:v>
      </x:c>
      <x:c r="M142" s="30" t="n">
        <x:f>(Inputs!$B$8-H142)/Inputs!$B$8</x:f>
        <x:v>0.999999999696761</x:v>
      </x:c>
      <x:c r="N142" s="30" t="n">
        <x:f>J142/Inputs!$B$8</x:f>
        <x:v>0.574766953366307</x:v>
      </x:c>
      <x:c r="O142" s="30" t="n">
        <x:f>J142/(Inputs!$B$8-H142)</x:f>
        <x:v>0.5747669535405988</x:v>
      </x:c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 ht="15" hidden="0" customHeight="1">
      <x:c r="A143" s="18" t="n">
        <x:v>423.15</x:v>
      </x:c>
      <x:c r="B143" s="50" t="n">
        <x:v>0.1</x:v>
      </x:c>
      <x:c r="C143" s="18" t="n">
        <x:f>VLOOKUP(A143,Inputs!$A$13:$F$15,2,FALSE)</x:f>
        <x:v>221.9</x:v>
      </x:c>
      <x:c r="D143" s="18" t="n">
        <x:f>VLOOKUP(A143,Inputs!$A$13:$F$15,3,FALSE)</x:f>
        <x:v>103.31</x:v>
      </x:c>
      <x:c r="E143" s="18" t="n">
        <x:f>VLOOKUP(A143,Inputs!$A$13:$F$15,4,FALSE)</x:f>
        <x:v>8.8</x:v>
      </x:c>
      <x:c r="F143" s="18" t="n">
        <x:f>VLOOKUP(A143,Inputs!$A$13:$F$15,5,FALSE)</x:f>
        <x:v>12.12</x:v>
      </x:c>
      <x:c r="G143" s="18" t="n">
        <x:f>VLOOKUP(A143,Inputs!$A$13:$F$15,6,FALSE)</x:f>
        <x:v>4.94</x:v>
      </x:c>
      <x:c r="H143" s="30" t="n">
        <x:f>Inputs!$B$8*EXP(-(C143+E143)*B143)</x:f>
        <x:v>1.9136226298435067e-10</x:v>
      </x:c>
      <x:c r="I143" s="30" t="n">
        <x:f>C143*Inputs!$B$8/(D143+F143-C143-E143)*(EXP(-(C143+E143)*B143)-EXP(-(D143+F143)*B143))</x:f>
        <x:v>0.0000373598838927765</x:v>
      </x:c>
      <x:c r="J143" s="30" t="n">
        <x:f>D143*C143*Inputs!$B$8/(D143+F143-C143-E143)*((EXP(-(C143+E143)*B143)-EXP(-G143*B143))/(G143-C143-E143)-(EXP(-(D143+F143)*B143)-EXP(-G143*B143))/(G143-D143-F143))</x:f>
        <x:v>1.1215139719515033</x:v>
      </x:c>
      <x:c r="K143" s="30" t="n">
        <x:f>E143*Inputs!$B$8/(C143+E143)*(1-EXP(-(C143+E143)*B143))</x:f>
        <x:v>0.07628955352542702</x:v>
      </x:c>
      <x:c r="L143" s="30" t="n">
        <x:f>Inputs!$B$8-H143-I143-J143-K143</x:f>
        <x:v>0.8021591144478147</x:v>
      </x:c>
      <x:c r="M143" s="30" t="n">
        <x:f>(Inputs!$B$8-H143)/Inputs!$B$8</x:f>
        <x:v>0.9999999999043189</x:v>
      </x:c>
      <x:c r="N143" s="30" t="n">
        <x:f>J143/Inputs!$B$8</x:f>
        <x:v>0.5607569859757516</x:v>
      </x:c>
      <x:c r="O143" s="30" t="n">
        <x:f>J143/(Inputs!$B$8-H143)</x:f>
        <x:v>0.5607569860294055</x:v>
      </x:c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 ht="15" hidden="0" customHeight="1">
      <x:c r="A144" s="18" t="n">
        <x:v>423.15</x:v>
      </x:c>
      <x:c r="B144" s="50" t="n">
        <x:v>0.105</x:v>
      </x:c>
      <x:c r="C144" s="18" t="n">
        <x:f>VLOOKUP(A144,Inputs!$A$13:$F$15,2,FALSE)</x:f>
        <x:v>221.9</x:v>
      </x:c>
      <x:c r="D144" s="18" t="n">
        <x:f>VLOOKUP(A144,Inputs!$A$13:$F$15,3,FALSE)</x:f>
        <x:v>103.31</x:v>
      </x:c>
      <x:c r="E144" s="18" t="n">
        <x:f>VLOOKUP(A144,Inputs!$A$13:$F$15,4,FALSE)</x:f>
        <x:v>8.8</x:v>
      </x:c>
      <x:c r="F144" s="18" t="n">
        <x:f>VLOOKUP(A144,Inputs!$A$13:$F$15,5,FALSE)</x:f>
        <x:v>12.12</x:v>
      </x:c>
      <x:c r="G144" s="18" t="n">
        <x:f>VLOOKUP(A144,Inputs!$A$13:$F$15,6,FALSE)</x:f>
        <x:v>4.94</x:v>
      </x:c>
      <x:c r="H144" s="30" t="n">
        <x:f>Inputs!$B$8*EXP(-(C144+E144)*B144)</x:f>
        <x:v>6.038062627727562e-11</x:v>
      </x:c>
      <x:c r="I144" s="30" t="n">
        <x:f>C144*Inputs!$B$8/(D144+F144-C144-E144)*(EXP(-(C144+E144)*B144)-EXP(-(D144+F144)*B144))</x:f>
        <x:v>0.0000209775291619417</x:v>
      </x:c>
      <x:c r="J144" s="30" t="n">
        <x:f>D144*C144*Inputs!$B$8/(D144+F144-C144-E144)*((EXP(-(C144+E144)*B144)-EXP(-G144*B144))/(G144-C144-E144)-(EXP(-(D144+F144)*B144)-EXP(-G144*B144))/(G144-D144-F144))</x:f>
        <x:v>1.094166355294994</x:v>
      </x:c>
      <x:c r="K144" s="30" t="n">
        <x:f>E144*Inputs!$B$8/(C144+E144)*(1-EXP(-(C144+E144)*B144))</x:f>
        <x:v>0.07628955353042328</x:v>
      </x:c>
      <x:c r="L144" s="30" t="n">
        <x:f>Inputs!$B$8-H144-I144-J144-K144</x:f>
        <x:v>0.82952311358504</x:v>
      </x:c>
      <x:c r="M144" s="30" t="n">
        <x:f>(Inputs!$B$8-H144)/Inputs!$B$8</x:f>
        <x:v>0.9999999999698097</x:v>
      </x:c>
      <x:c r="N144" s="30" t="n">
        <x:f>J144/Inputs!$B$8</x:f>
        <x:v>0.547083177647497</x:v>
      </x:c>
      <x:c r="O144" s="30" t="n">
        <x:f>J144/(Inputs!$B$8-H144)</x:f>
        <x:v>0.5470831776640136</x:v>
      </x:c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 ht="15" hidden="0" customHeight="1">
      <x:c r="A145" s="18" t="n">
        <x:v>423.15</x:v>
      </x:c>
      <x:c r="B145" s="50" t="n">
        <x:v>0.11</x:v>
      </x:c>
      <x:c r="C145" s="18" t="n">
        <x:f>VLOOKUP(A145,Inputs!$A$13:$F$15,2,FALSE)</x:f>
        <x:v>221.9</x:v>
      </x:c>
      <x:c r="D145" s="18" t="n">
        <x:f>VLOOKUP(A145,Inputs!$A$13:$F$15,3,FALSE)</x:f>
        <x:v>103.31</x:v>
      </x:c>
      <x:c r="E145" s="18" t="n">
        <x:f>VLOOKUP(A145,Inputs!$A$13:$F$15,4,FALSE)</x:f>
        <x:v>8.8</x:v>
      </x:c>
      <x:c r="F145" s="18" t="n">
        <x:f>VLOOKUP(A145,Inputs!$A$13:$F$15,5,FALSE)</x:f>
        <x:v>12.12</x:v>
      </x:c>
      <x:c r="G145" s="18" t="n">
        <x:f>VLOOKUP(A145,Inputs!$A$13:$F$15,6,FALSE)</x:f>
        <x:v>4.94</x:v>
      </x:c>
      <x:c r="H145" s="30" t="n">
        <x:f>Inputs!$B$8*EXP(-(C145+E145)*B145)</x:f>
        <x:v>1.9051927860688836e-11</x:v>
      </x:c>
      <x:c r="I145" s="30" t="n">
        <x:f>C145*Inputs!$B$8/(D145+F145-C145-E145)*(EXP(-(C145+E145)*B145)-EXP(-(D145+F145)*B145))</x:f>
        <x:v>0.00001177883470847874</x:v>
      </x:c>
      <x:c r="J145" s="30" t="n">
        <x:f>D145*C145*Inputs!$B$8/(D145+F145-C145-E145)*((EXP(-(C145+E145)*B145)-EXP(-G145*B145))/(G145-C145-E145)-(EXP(-(D145+F145)*B145)-EXP(-G145*B145))/(G145-D145-F145))</x:f>
        <x:v>1.0674796075712867</x:v>
      </x:c>
      <x:c r="K145" s="30" t="n">
        <x:f>E145*Inputs!$B$8/(C145+E145)*(1-EXP(-(C145+E145)*B145))</x:f>
        <x:v>0.07628955353199976</x:v>
      </x:c>
      <x:c r="L145" s="30" t="n">
        <x:f>Inputs!$B$8-H145-I145-J145-K145</x:f>
        <x:v>0.8562190600429532</x:v>
      </x:c>
      <x:c r="M145" s="30" t="n">
        <x:f>(Inputs!$B$8-H145)/Inputs!$B$8</x:f>
        <x:v>0.9999999999904741</x:v>
      </x:c>
      <x:c r="N145" s="30" t="n">
        <x:f>J145/Inputs!$B$8</x:f>
        <x:v>0.5337398037856433</x:v>
      </x:c>
      <x:c r="O145" s="30" t="n">
        <x:f>J145/(Inputs!$B$8-H145)</x:f>
        <x:v>0.5337398037907277</x:v>
      </x:c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 ht="15" hidden="0" customHeight="1">
      <x:c r="A146" s="18" t="n">
        <x:v>423.15</x:v>
      </x:c>
      <x:c r="B146" s="50" t="n">
        <x:v>0.115</x:v>
      </x:c>
      <x:c r="C146" s="18" t="n">
        <x:f>VLOOKUP(A146,Inputs!$A$13:$F$15,2,FALSE)</x:f>
        <x:v>221.9</x:v>
      </x:c>
      <x:c r="D146" s="18" t="n">
        <x:f>VLOOKUP(A146,Inputs!$A$13:$F$15,3,FALSE)</x:f>
        <x:v>103.31</x:v>
      </x:c>
      <x:c r="E146" s="18" t="n">
        <x:f>VLOOKUP(A146,Inputs!$A$13:$F$15,4,FALSE)</x:f>
        <x:v>8.8</x:v>
      </x:c>
      <x:c r="F146" s="18" t="n">
        <x:f>VLOOKUP(A146,Inputs!$A$13:$F$15,5,FALSE)</x:f>
        <x:v>12.12</x:v>
      </x:c>
      <x:c r="G146" s="18" t="n">
        <x:f>VLOOKUP(A146,Inputs!$A$13:$F$15,6,FALSE)</x:f>
        <x:v>4.94</x:v>
      </x:c>
      <x:c r="H146" s="30" t="n">
        <x:f>Inputs!$B$8*EXP(-(C146+E146)*B146)</x:f>
        <x:v>6.011463901385505e-12</x:v>
      </x:c>
      <x:c r="I146" s="30" t="n">
        <x:f>C146*Inputs!$B$8/(D146+F146-C146-E146)*(EXP(-(C146+E146)*B146)-EXP(-(D146+F146)*B146))</x:f>
        <x:v>0.000006613781751921062</x:v>
      </x:c>
      <x:c r="J146" s="30" t="n">
        <x:f>D146*C146*Inputs!$B$8/(D146+F146-C146-E146)*((EXP(-(C146+E146)*B146)-EXP(-G146*B146))/(G146-C146-E146)-(EXP(-(D146+F146)*B146)-EXP(-G146*B146))/(G146-D146-F146))</x:f>
        <x:v>1.0414403867637547</x:v>
      </x:c>
      <x:c r="K146" s="30" t="n">
        <x:f>E146*Inputs!$B$8/(C146+E146)*(1-EXP(-(C146+E146)*B146))</x:f>
        <x:v>0.07628955353249718</x:v>
      </x:c>
      <x:c r="L146" s="30" t="n">
        <x:f>Inputs!$B$8-H146-I146-J146-K146</x:f>
        <x:v>0.8822634459159848</x:v>
      </x:c>
      <x:c r="M146" s="30" t="n">
        <x:f>(Inputs!$B$8-H146)/Inputs!$B$8</x:f>
        <x:v>0.9999999999969943</x:v>
      </x:c>
      <x:c r="N146" s="30" t="n">
        <x:f>J146/Inputs!$B$8</x:f>
        <x:v>0.5207201933818774</x:v>
      </x:c>
      <x:c r="O146" s="30" t="n">
        <x:f>J146/(Inputs!$B$8-H146)</x:f>
        <x:v>0.5207201933834424</x:v>
      </x:c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 ht="15" hidden="0" customHeight="1">
      <x:c r="A147" s="18" t="n">
        <x:v>423.15</x:v>
      </x:c>
      <x:c r="B147" s="50" t="n">
        <x:v>0.12</x:v>
      </x:c>
      <x:c r="C147" s="18" t="n">
        <x:f>VLOOKUP(A147,Inputs!$A$13:$F$15,2,FALSE)</x:f>
        <x:v>221.9</x:v>
      </x:c>
      <x:c r="D147" s="18" t="n">
        <x:f>VLOOKUP(A147,Inputs!$A$13:$F$15,3,FALSE)</x:f>
        <x:v>103.31</x:v>
      </x:c>
      <x:c r="E147" s="18" t="n">
        <x:f>VLOOKUP(A147,Inputs!$A$13:$F$15,4,FALSE)</x:f>
        <x:v>8.8</x:v>
      </x:c>
      <x:c r="F147" s="18" t="n">
        <x:f>VLOOKUP(A147,Inputs!$A$13:$F$15,5,FALSE)</x:f>
        <x:v>12.12</x:v>
      </x:c>
      <x:c r="G147" s="18" t="n">
        <x:f>VLOOKUP(A147,Inputs!$A$13:$F$15,6,FALSE)</x:f>
        <x:v>4.94</x:v>
      </x:c>
      <x:c r="H147" s="30" t="n">
        <x:f>Inputs!$B$8*EXP(-(C147+E147)*B147)</x:f>
        <x:v>1.8968000772366235e-12</x:v>
      </x:c>
      <x:c r="I147" s="30" t="n">
        <x:f>C147*Inputs!$B$8/(D147+F147-C147-E147)*(EXP(-(C147+E147)*B147)-EXP(-(D147+F147)*B147))</x:f>
        <x:v>0.000003713617179372228</x:v>
      </x:c>
      <x:c r="J147" s="30" t="n">
        <x:f>D147*C147*Inputs!$B$8/(D147+F147-C147-E147)*((EXP(-(C147+E147)*B147)-EXP(-G147*B147))/(G147-C147-E147)-(EXP(-(D147+F147)*B147)-EXP(-G147*B147))/(G147-D147-F147))</x:f>
        <x:v>1.0160344566815263</x:v>
      </x:c>
      <x:c r="K147" s="30" t="n">
        <x:f>E147*Inputs!$B$8/(C147+E147)*(1-EXP(-(C147+E147)*B147))</x:f>
        <x:v>0.07628955353265414</x:v>
      </x:c>
      <x:c r="L147" s="30" t="n">
        <x:f>Inputs!$B$8-H147-I147-J147-K147</x:f>
        <x:v>0.9076722761667436</x:v>
      </x:c>
      <x:c r="M147" s="30" t="n">
        <x:f>(Inputs!$B$8-H147)/Inputs!$B$8</x:f>
        <x:v>0.9999999999990516</x:v>
      </x:c>
      <x:c r="N147" s="30" t="n">
        <x:f>J147/Inputs!$B$8</x:f>
        <x:v>0.5080172283407631</x:v>
      </x:c>
      <x:c r="O147" s="30" t="n">
        <x:f>J147/(Inputs!$B$8-H147)</x:f>
        <x:v>0.5080172283412449</x:v>
      </x:c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 ht="15" hidden="0" customHeight="1">
      <x:c r="A148" s="18" t="n">
        <x:v>423.15</x:v>
      </x:c>
      <x:c r="B148" s="50" t="n">
        <x:v>0.125</x:v>
      </x:c>
      <x:c r="C148" s="18" t="n">
        <x:f>VLOOKUP(A148,Inputs!$A$13:$F$15,2,FALSE)</x:f>
        <x:v>221.9</x:v>
      </x:c>
      <x:c r="D148" s="18" t="n">
        <x:f>VLOOKUP(A148,Inputs!$A$13:$F$15,3,FALSE)</x:f>
        <x:v>103.31</x:v>
      </x:c>
      <x:c r="E148" s="18" t="n">
        <x:f>VLOOKUP(A148,Inputs!$A$13:$F$15,4,FALSE)</x:f>
        <x:v>8.8</x:v>
      </x:c>
      <x:c r="F148" s="18" t="n">
        <x:f>VLOOKUP(A148,Inputs!$A$13:$F$15,5,FALSE)</x:f>
        <x:v>12.12</x:v>
      </x:c>
      <x:c r="G148" s="18" t="n">
        <x:f>VLOOKUP(A148,Inputs!$A$13:$F$15,6,FALSE)</x:f>
        <x:v>4.94</x:v>
      </x:c>
      <x:c r="H148" s="30" t="n">
        <x:f>Inputs!$B$8*EXP(-(C148+E148)*B148)</x:f>
        <x:v>5.984982347104549e-13</x:v>
      </x:c>
      <x:c r="I148" s="30" t="n">
        <x:f>C148*Inputs!$B$8/(D148+F148-C148-E148)*(EXP(-(C148+E148)*B148)-EXP(-(D148+F148)*B148))</x:f>
        <x:v>0.0000020851834006300404</x:v>
      </x:c>
      <x:c r="J148" s="30" t="n">
        <x:f>D148*C148*Inputs!$B$8/(D148+F148-C148-E148)*((EXP(-(C148+E148)*B148)-EXP(-G148*B148))/(G148-C148-E148)-(EXP(-(D148+F148)*B148)-EXP(-G148*B148))/(G148-D148-F148))</x:f>
        <x:v>0.991247243602795</x:v>
      </x:c>
      <x:c r="K148" s="30" t="n">
        <x:f>E148*Inputs!$B$8/(C148+E148)*(1-EXP(-(C148+E148)*B148))</x:f>
        <x:v>0.07628955353270366</x:v>
      </x:c>
      <x:c r="L148" s="30" t="n">
        <x:f>Inputs!$B$8-H148-I148-J148-K148</x:f>
        <x:v>0.9324611176805023</x:v>
      </x:c>
      <x:c r="M148" s="30" t="n">
        <x:f>(Inputs!$B$8-H148)/Inputs!$B$8</x:f>
        <x:v>0.9999999999997008</x:v>
      </x:c>
      <x:c r="N148" s="30" t="n">
        <x:f>J148/Inputs!$B$8</x:f>
        <x:v>0.4956236218013975</x:v>
      </x:c>
      <x:c r="O148" s="30" t="n">
        <x:f>J148/(Inputs!$B$8-H148)</x:f>
        <x:v>0.4956236218015458</x:v>
      </x:c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 ht="15" hidden="0" customHeight="1">
      <x:c r="A149" s="18" t="n">
        <x:v>423.15</x:v>
      </x:c>
      <x:c r="B149" s="50" t="n">
        <x:v>0.13</x:v>
      </x:c>
      <x:c r="C149" s="18" t="n">
        <x:f>VLOOKUP(A149,Inputs!$A$13:$F$15,2,FALSE)</x:f>
        <x:v>221.9</x:v>
      </x:c>
      <x:c r="D149" s="18" t="n">
        <x:f>VLOOKUP(A149,Inputs!$A$13:$F$15,3,FALSE)</x:f>
        <x:v>103.31</x:v>
      </x:c>
      <x:c r="E149" s="18" t="n">
        <x:f>VLOOKUP(A149,Inputs!$A$13:$F$15,4,FALSE)</x:f>
        <x:v>8.8</x:v>
      </x:c>
      <x:c r="F149" s="18" t="n">
        <x:f>VLOOKUP(A149,Inputs!$A$13:$F$15,5,FALSE)</x:f>
        <x:v>12.12</x:v>
      </x:c>
      <x:c r="G149" s="18" t="n">
        <x:f>VLOOKUP(A149,Inputs!$A$13:$F$15,6,FALSE)</x:f>
        <x:v>4.94</x:v>
      </x:c>
      <x:c r="H149" s="30" t="n">
        <x:f>Inputs!$B$8*EXP(-(C149+E149)*B149)</x:f>
        <x:v>1.8884443397607773e-13</x:v>
      </x:c>
      <x:c r="I149" s="30" t="n">
        <x:f>C149*Inputs!$B$8/(D149+F149-C149-E149)*(EXP(-(C149+E149)*B149)-EXP(-(D149+F149)*B149))</x:f>
        <x:v>0.0000011708231580908223</x:v>
      </x:c>
      <x:c r="J149" s="30" t="n">
        <x:f>D149*C149*Inputs!$B$8/(D149+F149-C149-E149)*((EXP(-(C149+E149)*B149)-EXP(-G149*B149))/(G149-C149-E149)-(EXP(-(D149+F149)*B149)-EXP(-G149*B149))/(G149-D149-F149))</x:f>
        <x:v>0.967064144819547</x:v>
      </x:c>
      <x:c r="K149" s="30" t="n">
        <x:f>E149*Inputs!$B$8/(C149+E149)*(1-EXP(-(C149+E149)*B149))</x:f>
        <x:v>0.07628955353271928</x:v>
      </x:c>
      <x:c r="L149" s="30" t="n">
        <x:f>Inputs!$B$8-H149-I149-J149-K149</x:f>
        <x:v>0.9566451308243871</x:v>
      </x:c>
      <x:c r="M149" s="30" t="n">
        <x:f>(Inputs!$B$8-H149)/Inputs!$B$8</x:f>
        <x:v>0.9999999999999056</x:v>
      </x:c>
      <x:c r="N149" s="30" t="n">
        <x:f>J149/Inputs!$B$8</x:f>
        <x:v>0.4835320724097735</x:v>
      </x:c>
      <x:c r="O149" s="30" t="n">
        <x:f>J149/(Inputs!$B$8-H149)</x:f>
        <x:v>0.4835320724098191</x:v>
      </x:c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 ht="15" hidden="0" customHeight="1">
      <x:c r="A150" s="18" t="n">
        <x:v>423.15</x:v>
      </x:c>
      <x:c r="B150" s="50" t="n">
        <x:v>0.135</x:v>
      </x:c>
      <x:c r="C150" s="18" t="n">
        <x:f>VLOOKUP(A150,Inputs!$A$13:$F$15,2,FALSE)</x:f>
        <x:v>221.9</x:v>
      </x:c>
      <x:c r="D150" s="18" t="n">
        <x:f>VLOOKUP(A150,Inputs!$A$13:$F$15,3,FALSE)</x:f>
        <x:v>103.31</x:v>
      </x:c>
      <x:c r="E150" s="18" t="n">
        <x:f>VLOOKUP(A150,Inputs!$A$13:$F$15,4,FALSE)</x:f>
        <x:v>8.8</x:v>
      </x:c>
      <x:c r="F150" s="18" t="n">
        <x:f>VLOOKUP(A150,Inputs!$A$13:$F$15,5,FALSE)</x:f>
        <x:v>12.12</x:v>
      </x:c>
      <x:c r="G150" s="18" t="n">
        <x:f>VLOOKUP(A150,Inputs!$A$13:$F$15,6,FALSE)</x:f>
        <x:v>4.94</x:v>
      </x:c>
      <x:c r="H150" s="30" t="n">
        <x:f>Inputs!$B$8*EXP(-(C150+E150)*B150)</x:f>
        <x:v>5.958617448721142e-14</x:v>
      </x:c>
      <x:c r="I150" s="30" t="n">
        <x:f>C150*Inputs!$B$8/(D150+F150-C150-E150)*(EXP(-(C150+E150)*B150)-EXP(-(D150+F150)*B150))</x:f>
        <x:v>6.574130226450302e-7</x:v>
      </x:c>
      <x:c r="J150" s="30" t="n">
        <x:f>D150*C150*Inputs!$B$8/(D150+F150-C150-E150)*((EXP(-(C150+E150)*B150)-EXP(-G150*B150))/(G150-C150-E150)-(EXP(-(D150+F150)*B150)-EXP(-G150*B150))/(G150-D150-F150))</x:f>
        <x:v>0.9434706979695209</x:v>
      </x:c>
      <x:c r="K150" s="30" t="n">
        <x:f>E150*Inputs!$B$8/(C150+E150)*(1-EXP(-(C150+E150)*B150))</x:f>
        <x:v>0.07628955353272421</x:v>
      </x:c>
      <x:c r="L150" s="30" t="n">
        <x:f>Inputs!$B$8-H150-I150-J150-K150</x:f>
        <x:v>0.9802390910846728</x:v>
      </x:c>
      <x:c r="M150" s="30" t="n">
        <x:f>(Inputs!$B$8-H150)/Inputs!$B$8</x:f>
        <x:v>0.9999999999999702</x:v>
      </x:c>
      <x:c r="N150" s="30" t="n">
        <x:f>J150/Inputs!$B$8</x:f>
        <x:v>0.47173534898476044</x:v>
      </x:c>
      <x:c r="O150" s="30" t="n">
        <x:f>J150/(Inputs!$B$8-H150)</x:f>
        <x:v>0.4717353489847745</x:v>
      </x:c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 ht="15" hidden="0" customHeight="1">
      <x:c r="A151" s="18" t="n">
        <x:v>423.15</x:v>
      </x:c>
      <x:c r="B151" s="50" t="n">
        <x:v>0.14</x:v>
      </x:c>
      <x:c r="C151" s="18" t="n">
        <x:f>VLOOKUP(A151,Inputs!$A$13:$F$15,2,FALSE)</x:f>
        <x:v>221.9</x:v>
      </x:c>
      <x:c r="D151" s="18" t="n">
        <x:f>VLOOKUP(A151,Inputs!$A$13:$F$15,3,FALSE)</x:f>
        <x:v>103.31</x:v>
      </x:c>
      <x:c r="E151" s="18" t="n">
        <x:f>VLOOKUP(A151,Inputs!$A$13:$F$15,4,FALSE)</x:f>
        <x:v>8.8</x:v>
      </x:c>
      <x:c r="F151" s="18" t="n">
        <x:f>VLOOKUP(A151,Inputs!$A$13:$F$15,5,FALSE)</x:f>
        <x:v>12.12</x:v>
      </x:c>
      <x:c r="G151" s="18" t="n">
        <x:f>VLOOKUP(A151,Inputs!$A$13:$F$15,6,FALSE)</x:f>
        <x:v>4.94</x:v>
      </x:c>
      <x:c r="H151" s="30" t="n">
        <x:f>Inputs!$B$8*EXP(-(C151+E151)*B151)</x:f>
        <x:v>1.8801254107760262e-14</x:v>
      </x:c>
      <x:c r="I151" s="30" t="n">
        <x:f>C151*Inputs!$B$8/(D151+F151-C151-E151)*(EXP(-(C151+E151)*B151)-EXP(-(D151+F151)*B151))</x:f>
        <x:v>3.6913504281678016e-7</x:v>
      </x:c>
      <x:c r="J151" s="30" t="n">
        <x:f>D151*C151*Inputs!$B$8/(D151+F151-C151-E151)*((EXP(-(C151+E151)*B151)-EXP(-G151*B151))/(G151-C151-E151)-(EXP(-(D151+F151)*B151)-EXP(-G151*B151))/(G151-D151-F151))</x:f>
        <x:v>0.9204526722949218</x:v>
      </x:c>
      <x:c r="K151" s="30" t="n">
        <x:f>E151*Inputs!$B$8/(C151+E151)*(1-EXP(-(C151+E151)*B151))</x:f>
        <x:v>0.07628955353272576</x:v>
      </x:c>
      <x:c r="L151" s="30" t="n">
        <x:f>Inputs!$B$8-H151-I151-J151-K151</x:f>
        <x:v>1.0032574050372909</x:v>
      </x:c>
      <x:c r="M151" s="30" t="n">
        <x:f>(Inputs!$B$8-H151)/Inputs!$B$8</x:f>
        <x:v>0.9999999999999906</x:v>
      </x:c>
      <x:c r="N151" s="30" t="n">
        <x:f>J151/Inputs!$B$8</x:f>
        <x:v>0.4602263361474609</x:v>
      </x:c>
      <x:c r="O151" s="30" t="n">
        <x:f>J151/(Inputs!$B$8-H151)</x:f>
        <x:v>0.4602263361474652</x:v>
      </x:c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 ht="15" hidden="0" customHeight="1">
      <x:c r="A152" s="18" t="n">
        <x:v>423.15</x:v>
      </x:c>
      <x:c r="B152" s="50" t="n">
        <x:v>0.145</x:v>
      </x:c>
      <x:c r="C152" s="18" t="n">
        <x:f>VLOOKUP(A152,Inputs!$A$13:$F$15,2,FALSE)</x:f>
        <x:v>221.9</x:v>
      </x:c>
      <x:c r="D152" s="18" t="n">
        <x:f>VLOOKUP(A152,Inputs!$A$13:$F$15,3,FALSE)</x:f>
        <x:v>103.31</x:v>
      </x:c>
      <x:c r="E152" s="18" t="n">
        <x:f>VLOOKUP(A152,Inputs!$A$13:$F$15,4,FALSE)</x:f>
        <x:v>8.8</x:v>
      </x:c>
      <x:c r="F152" s="18" t="n">
        <x:f>VLOOKUP(A152,Inputs!$A$13:$F$15,5,FALSE)</x:f>
        <x:v>12.12</x:v>
      </x:c>
      <x:c r="G152" s="18" t="n">
        <x:f>VLOOKUP(A152,Inputs!$A$13:$F$15,6,FALSE)</x:f>
        <x:v>4.94</x:v>
      </x:c>
      <x:c r="H152" s="30" t="n">
        <x:f>Inputs!$B$8*EXP(-(C152+E152)*B152)</x:f>
        <x:v>5.9323686923456125e-15</x:v>
      </x:c>
      <x:c r="I152" s="30" t="n">
        <x:f>C152*Inputs!$B$8/(D152+F152-C152-E152)*(EXP(-(C152+E152)*B152)-EXP(-(D152+F152)*B152))</x:f>
        <x:v>2.0726798919332896e-7</x:v>
      </x:c>
      <x:c r="J152" s="30" t="n">
        <x:f>D152*C152*Inputs!$B$8/(D152+F152-C152-E152)*((EXP(-(C152+E152)*B152)-EXP(-G152*B152))/(G152-C152-E152)-(EXP(-(D152+F152)*B152)-EXP(-G152*B152))/(G152-D152-F152))</x:f>
        <x:v>0.8979961161560933</x:v>
      </x:c>
      <x:c r="K152" s="30" t="n">
        <x:f>E152*Inputs!$B$8/(C152+E152)*(1-EXP(-(C152+E152)*B152))</x:f>
        <x:v>0.07628955353272626</x:v>
      </x:c>
      <x:c r="L152" s="30" t="n">
        <x:f>Inputs!$B$8-H152-I152-J152-K152</x:f>
        <x:v>1.0257141230431852</x:v>
      </x:c>
      <x:c r="M152" s="30" t="n">
        <x:f>(Inputs!$B$8-H152)/Inputs!$B$8</x:f>
        <x:v>0.999999999999997</x:v>
      </x:c>
      <x:c r="N152" s="30" t="n">
        <x:f>J152/Inputs!$B$8</x:f>
        <x:v>0.44899805807804666</x:v>
      </x:c>
      <x:c r="O152" s="30" t="n">
        <x:f>J152/(Inputs!$B$8-H152)</x:f>
        <x:v>0.448998058078048</x:v>
      </x:c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 ht="15" hidden="0" customHeight="1">
      <x:c r="A153" s="18" t="n">
        <x:v>423.15</x:v>
      </x:c>
      <x:c r="B153" s="50" t="n">
        <x:v>0.15</x:v>
      </x:c>
      <x:c r="C153" s="18" t="n">
        <x:f>VLOOKUP(A153,Inputs!$A$13:$F$15,2,FALSE)</x:f>
        <x:v>221.9</x:v>
      </x:c>
      <x:c r="D153" s="18" t="n">
        <x:f>VLOOKUP(A153,Inputs!$A$13:$F$15,3,FALSE)</x:f>
        <x:v>103.31</x:v>
      </x:c>
      <x:c r="E153" s="18" t="n">
        <x:f>VLOOKUP(A153,Inputs!$A$13:$F$15,4,FALSE)</x:f>
        <x:v>8.8</x:v>
      </x:c>
      <x:c r="F153" s="18" t="n">
        <x:f>VLOOKUP(A153,Inputs!$A$13:$F$15,5,FALSE)</x:f>
        <x:v>12.12</x:v>
      </x:c>
      <x:c r="G153" s="18" t="n">
        <x:f>VLOOKUP(A153,Inputs!$A$13:$F$15,6,FALSE)</x:f>
        <x:v>4.94</x:v>
      </x:c>
      <x:c r="H153" s="30" t="n">
        <x:f>Inputs!$B$8*EXP(-(C153+E153)*B153)</x:f>
        <x:v>1.8718431281345292e-15</x:v>
      </x:c>
      <x:c r="I153" s="30" t="n">
        <x:f>C153*Inputs!$B$8/(D153+F153-C153-E153)*(EXP(-(C153+E153)*B153)-EXP(-(D153+F153)*B153))</x:f>
        <x:v>1.1638022282616777e-7</x:v>
      </x:c>
      <x:c r="J153" s="30" t="n">
        <x:f>D153*C153*Inputs!$B$8/(D153+F153-C153-E153)*((EXP(-(C153+E153)*B153)-EXP(-G153*B153))/(G153-C153-E153)-(EXP(-(D153+F153)*B153)-EXP(-G153*B153))/(G153-D153-F153))</x:f>
        <x:v>0.8760873800733278</x:v>
      </x:c>
      <x:c r="K153" s="30" t="n">
        <x:f>E153*Inputs!$B$8/(C153+E153)*(1-EXP(-(C153+E153)*B153))</x:f>
        <x:v>0.07628955353272641</x:v>
      </x:c>
      <x:c r="L153" s="30" t="n">
        <x:f>Inputs!$B$8-H153-I153-J153-K153</x:f>
        <x:v>1.0476229500137213</x:v>
      </x:c>
      <x:c r="M153" s="30" t="n">
        <x:f>(Inputs!$B$8-H153)/Inputs!$B$8</x:f>
        <x:v>0.9999999999999991</x:v>
      </x:c>
      <x:c r="N153" s="30" t="n">
        <x:f>J153/Inputs!$B$8</x:f>
        <x:v>0.4380436900366639</x:v>
      </x:c>
      <x:c r="O153" s="30" t="n">
        <x:f>J153/(Inputs!$B$8-H153)</x:f>
        <x:v>0.43804369003666427</x:v>
      </x:c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 ht="15" hidden="0" customHeight="1">
      <x:c r="A154" s="18" t="n">
        <x:v>423.15</x:v>
      </x:c>
      <x:c r="B154" s="50" t="n">
        <x:v>0.155</x:v>
      </x:c>
      <x:c r="C154" s="18" t="n">
        <x:f>VLOOKUP(A154,Inputs!$A$13:$F$15,2,FALSE)</x:f>
        <x:v>221.9</x:v>
      </x:c>
      <x:c r="D154" s="18" t="n">
        <x:f>VLOOKUP(A154,Inputs!$A$13:$F$15,3,FALSE)</x:f>
        <x:v>103.31</x:v>
      </x:c>
      <x:c r="E154" s="18" t="n">
        <x:f>VLOOKUP(A154,Inputs!$A$13:$F$15,4,FALSE)</x:f>
        <x:v>8.8</x:v>
      </x:c>
      <x:c r="F154" s="18" t="n">
        <x:f>VLOOKUP(A154,Inputs!$A$13:$F$15,5,FALSE)</x:f>
        <x:v>12.12</x:v>
      </x:c>
      <x:c r="G154" s="18" t="n">
        <x:f>VLOOKUP(A154,Inputs!$A$13:$F$15,6,FALSE)</x:f>
        <x:v>4.94</x:v>
      </x:c>
      <x:c r="H154" s="30" t="n">
        <x:f>Inputs!$B$8*EXP(-(C154+E154)*B154)</x:f>
        <x:v>5.906235566351973e-16</x:v>
      </x:c>
      <x:c r="I154" s="30" t="n">
        <x:f>C154*Inputs!$B$8/(D154+F154-C154-E154)*(EXP(-(C154+E154)*B154)-EXP(-(D154+F154)*B154))</x:f>
        <x:v>6.534707155976828e-8</x:v>
      </x:c>
      <x:c r="J154" s="30" t="n">
        <x:f>D154*C154*Inputs!$B$8/(D154+F154-C154-E154)*((EXP(-(C154+E154)*B154)-EXP(-G154*B154))/(G154-C154-E154)-(EXP(-(D154+F154)*B154)-EXP(-G154*B154))/(G154-D154-F154))</x:f>
        <x:v>0.8547131261165065</x:v>
      </x:c>
      <x:c r="K154" s="30" t="n">
        <x:f>E154*Inputs!$B$8/(C154+E154)*(1-EXP(-(C154+E154)*B154))</x:f>
        <x:v>0.07628955353272646</x:v>
      </x:c>
      <x:c r="L154" s="30" t="n">
        <x:f>Inputs!$B$8-H154-I154-J154-K154</x:f>
        <x:v>1.068997255003695</x:v>
      </x:c>
      <x:c r="M154" s="30" t="n">
        <x:f>(Inputs!$B$8-H154)/Inputs!$B$8</x:f>
        <x:v>0.9999999999999997</x:v>
      </x:c>
      <x:c r="N154" s="30" t="n">
        <x:f>J154/Inputs!$B$8</x:f>
        <x:v>0.42735656305825326</x:v>
      </x:c>
      <x:c r="O154" s="30" t="n">
        <x:f>J154/(Inputs!$B$8-H154)</x:f>
        <x:v>0.4273565630582534</x:v>
      </x:c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 ht="15" hidden="0" customHeight="1">
      <x:c r="A155" s="18" t="n">
        <x:v>423.15</x:v>
      </x:c>
      <x:c r="B155" s="50" t="n">
        <x:v>0.16</x:v>
      </x:c>
      <x:c r="C155" s="18" t="n">
        <x:f>VLOOKUP(A155,Inputs!$A$13:$F$15,2,FALSE)</x:f>
        <x:v>221.9</x:v>
      </x:c>
      <x:c r="D155" s="18" t="n">
        <x:f>VLOOKUP(A155,Inputs!$A$13:$F$15,3,FALSE)</x:f>
        <x:v>103.31</x:v>
      </x:c>
      <x:c r="E155" s="18" t="n">
        <x:f>VLOOKUP(A155,Inputs!$A$13:$F$15,4,FALSE)</x:f>
        <x:v>8.8</x:v>
      </x:c>
      <x:c r="F155" s="18" t="n">
        <x:f>VLOOKUP(A155,Inputs!$A$13:$F$15,5,FALSE)</x:f>
        <x:v>12.12</x:v>
      </x:c>
      <x:c r="G155" s="18" t="n">
        <x:f>VLOOKUP(A155,Inputs!$A$13:$F$15,6,FALSE)</x:f>
        <x:v>4.94</x:v>
      </x:c>
      <x:c r="H155" s="30" t="n">
        <x:f>Inputs!$B$8*EXP(-(C155+E155)*B155)</x:f>
        <x:v>1.863597330402675e-16</x:v>
      </x:c>
      <x:c r="I155" s="30" t="n">
        <x:f>C155*Inputs!$B$8/(D155+F155-C155-E155)*(EXP(-(C155+E155)*B155)-EXP(-(D155+F155)*B155))</x:f>
        <x:v>3.669214263702401e-8</x:v>
      </x:c>
      <x:c r="J155" s="30" t="n">
        <x:f>D155*C155*Inputs!$B$8/(D155+F155-C155-E155)*((EXP(-(C155+E155)*B155)-EXP(-G155*B155))/(G155-C155-E155)-(EXP(-(D155+F155)*B155)-EXP(-G155*B155))/(G155-D155-F155))</x:f>
        <x:v>0.8338603297156534</x:v>
      </x:c>
      <x:c r="K155" s="30" t="n">
        <x:f>E155*Inputs!$B$8/(C155+E155)*(1-EXP(-(C155+E155)*B155))</x:f>
        <x:v>0.07628955353272647</x:v>
      </x:c>
      <x:c r="L155" s="30" t="n">
        <x:f>Inputs!$B$8-H155-I155-J155-K155</x:f>
        <x:v>1.0898500800594775</x:v>
      </x:c>
      <x:c r="M155" s="30" t="n">
        <x:f>(Inputs!$B$8-H155)/Inputs!$B$8</x:f>
        <x:v>0.9999999999999999</x:v>
      </x:c>
      <x:c r="N155" s="30" t="n">
        <x:f>J155/Inputs!$B$8</x:f>
        <x:v>0.4169301648578267</x:v>
      </x:c>
      <x:c r="O155" s="30" t="n">
        <x:f>J155/(Inputs!$B$8-H155)</x:f>
        <x:v>0.41693016485782675</x:v>
      </x:c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 ht="15" hidden="0" customHeight="1">
      <x:c r="A156" s="18" t="n">
        <x:v>423.15</x:v>
      </x:c>
      <x:c r="B156" s="50" t="n">
        <x:v>0.165</x:v>
      </x:c>
      <x:c r="C156" s="18" t="n">
        <x:f>VLOOKUP(A156,Inputs!$A$13:$F$15,2,FALSE)</x:f>
        <x:v>221.9</x:v>
      </x:c>
      <x:c r="D156" s="18" t="n">
        <x:f>VLOOKUP(A156,Inputs!$A$13:$F$15,3,FALSE)</x:f>
        <x:v>103.31</x:v>
      </x:c>
      <x:c r="E156" s="18" t="n">
        <x:f>VLOOKUP(A156,Inputs!$A$13:$F$15,4,FALSE)</x:f>
        <x:v>8.8</x:v>
      </x:c>
      <x:c r="F156" s="18" t="n">
        <x:f>VLOOKUP(A156,Inputs!$A$13:$F$15,5,FALSE)</x:f>
        <x:v>12.12</x:v>
      </x:c>
      <x:c r="G156" s="18" t="n">
        <x:f>VLOOKUP(A156,Inputs!$A$13:$F$15,6,FALSE)</x:f>
        <x:v>4.94</x:v>
      </x:c>
      <x:c r="H156" s="30" t="n">
        <x:f>Inputs!$B$8*EXP(-(C156+E156)*B156)</x:f>
        <x:v>5.880217561368105e-17</x:v>
      </x:c>
      <x:c r="I156" s="30" t="n">
        <x:f>C156*Inputs!$B$8/(D156+F156-C156-E156)*(EXP(-(C156+E156)*B156)-EXP(-(D156+F156)*B156))</x:f>
        <x:v>2.0602504361184126e-8</x:v>
      </x:c>
      <x:c r="J156" s="30" t="n">
        <x:f>D156*C156*Inputs!$B$8/(D156+F156-C156-E156)*((EXP(-(C156+E156)*B156)-EXP(-G156*B156))/(G156-C156-E156)-(EXP(-(D156+F156)*B156)-EXP(-G156*B156))/(G156-D156-F156))</x:f>
        <x:v>0.8135162773003063</x:v>
      </x:c>
      <x:c r="K156" s="30" t="n">
        <x:f>E156*Inputs!$B$8/(C156+E156)*(1-EXP(-(C156+E156)*B156))</x:f>
        <x:v>0.07628955353272648</x:v>
      </x:c>
      <x:c r="L156" s="30" t="n">
        <x:f>Inputs!$B$8-H156-I156-J156-K156</x:f>
        <x:v>1.1101941485644629</x:v>
      </x:c>
      <x:c r="M156" s="30" t="n">
        <x:f>(Inputs!$B$8-H156)/Inputs!$B$8</x:f>
        <x:v>1</x:v>
      </x:c>
      <x:c r="N156" s="30" t="n">
        <x:f>J156/Inputs!$B$8</x:f>
        <x:v>0.40675813865015314</x:v>
      </x:c>
      <x:c r="O156" s="30" t="n">
        <x:f>J156/(Inputs!$B$8-H156)</x:f>
        <x:v>0.40675813865015314</x:v>
      </x:c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 ht="15" hidden="0" customHeight="1">
      <x:c r="A157" s="18" t="n">
        <x:v>423.15</x:v>
      </x:c>
      <x:c r="B157" s="50" t="n">
        <x:v>0.17</x:v>
      </x:c>
      <x:c r="C157" s="18" t="n">
        <x:f>VLOOKUP(A157,Inputs!$A$13:$F$15,2,FALSE)</x:f>
        <x:v>221.9</x:v>
      </x:c>
      <x:c r="D157" s="18" t="n">
        <x:f>VLOOKUP(A157,Inputs!$A$13:$F$15,3,FALSE)</x:f>
        <x:v>103.31</x:v>
      </x:c>
      <x:c r="E157" s="18" t="n">
        <x:f>VLOOKUP(A157,Inputs!$A$13:$F$15,4,FALSE)</x:f>
        <x:v>8.8</x:v>
      </x:c>
      <x:c r="F157" s="18" t="n">
        <x:f>VLOOKUP(A157,Inputs!$A$13:$F$15,5,FALSE)</x:f>
        <x:v>12.12</x:v>
      </x:c>
      <x:c r="G157" s="18" t="n">
        <x:f>VLOOKUP(A157,Inputs!$A$13:$F$15,6,FALSE)</x:f>
        <x:v>4.94</x:v>
      </x:c>
      <x:c r="H157" s="30" t="n">
        <x:f>Inputs!$B$8*EXP(-(C157+E157)*B157)</x:f>
        <x:v>1.8553878568580415e-17</x:v>
      </x:c>
      <x:c r="I157" s="30" t="n">
        <x:f>C157*Inputs!$B$8/(D157+F157-C157-E157)*(EXP(-(C157+E157)*B157)-EXP(-(D157+F157)*B157))</x:f>
        <x:v>1.1568231088471151e-8</x:v>
      </x:c>
      <x:c r="J157" s="30" t="n">
        <x:f>D157*C157*Inputs!$B$8/(D157+F157-C157-E157)*((EXP(-(C157+E157)*B157)-EXP(-G157*B157))/(G157-C157-E157)-(EXP(-(D157+F157)*B157)-EXP(-G157*B157))/(G157-D157-F157))</x:f>
        <x:v>0.7936685616791873</x:v>
      </x:c>
      <x:c r="K157" s="30" t="n">
        <x:f>E157*Inputs!$B$8/(C157+E157)*(1-EXP(-(C157+E157)*B157))</x:f>
        <x:v>0.07628955353272648</x:v>
      </x:c>
      <x:c r="L157" s="30" t="n">
        <x:f>Inputs!$B$8-H157-I157-J157-K157</x:f>
        <x:v>1.1300418732198554</x:v>
      </x:c>
      <x:c r="M157" s="30" t="n">
        <x:f>(Inputs!$B$8-H157)/Inputs!$B$8</x:f>
        <x:v>1</x:v>
      </x:c>
      <x:c r="N157" s="30" t="n">
        <x:f>J157/Inputs!$B$8</x:f>
        <x:v>0.39683428083959366</x:v>
      </x:c>
      <x:c r="O157" s="30" t="n">
        <x:f>J157/(Inputs!$B$8-H157)</x:f>
        <x:v>0.39683428083959366</x:v>
      </x:c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 ht="15" hidden="0" customHeight="1">
      <x:c r="A158" s="18" t="n">
        <x:v>423.15</x:v>
      </x:c>
      <x:c r="B158" s="50" t="n">
        <x:v>0.17500000000000002</x:v>
      </x:c>
      <x:c r="C158" s="18" t="n">
        <x:f>VLOOKUP(A158,Inputs!$A$13:$F$15,2,FALSE)</x:f>
        <x:v>221.9</x:v>
      </x:c>
      <x:c r="D158" s="18" t="n">
        <x:f>VLOOKUP(A158,Inputs!$A$13:$F$15,3,FALSE)</x:f>
        <x:v>103.31</x:v>
      </x:c>
      <x:c r="E158" s="18" t="n">
        <x:f>VLOOKUP(A158,Inputs!$A$13:$F$15,4,FALSE)</x:f>
        <x:v>8.8</x:v>
      </x:c>
      <x:c r="F158" s="18" t="n">
        <x:f>VLOOKUP(A158,Inputs!$A$13:$F$15,5,FALSE)</x:f>
        <x:v>12.12</x:v>
      </x:c>
      <x:c r="G158" s="18" t="n">
        <x:f>VLOOKUP(A158,Inputs!$A$13:$F$15,6,FALSE)</x:f>
        <x:v>4.94</x:v>
      </x:c>
      <x:c r="H158" s="30" t="n">
        <x:f>Inputs!$B$8*EXP(-(C158+E158)*B158)</x:f>
        <x:v>5.8543141702657416e-18</x:v>
      </x:c>
      <x:c r="I158" s="30" t="n">
        <x:f>C158*Inputs!$B$8/(D158+F158-C158-E158)*(EXP(-(C158+E158)*B158)-EXP(-(D158+F158)*B158))</x:f>
        <x:v>6.4955195751496454e-9</x:v>
      </x:c>
      <x:c r="J158" s="30" t="n">
        <x:f>D158*C158*Inputs!$B$8/(D158+F158-C158-E158)*((EXP(-(C158+E158)*B158)-EXP(-G158*B158))/(G158-C158-E158)-(EXP(-(D158+F158)*B158)-EXP(-G158*B158))/(G158-D158-F158))</x:f>
        <x:v>0.7743050762314384</x:v>
      </x:c>
      <x:c r="K158" s="30" t="n">
        <x:f>E158*Inputs!$B$8/(C158+E158)*(1-EXP(-(C158+E158)*B158))</x:f>
        <x:v>0.07628955353272648</x:v>
      </x:c>
      <x:c r="L158" s="30" t="n">
        <x:f>Inputs!$B$8-H158-I158-J158-K158</x:f>
        <x:v>1.1494053637403154</x:v>
      </x:c>
      <x:c r="M158" s="30" t="n">
        <x:f>(Inputs!$B$8-H158)/Inputs!$B$8</x:f>
        <x:v>1</x:v>
      </x:c>
      <x:c r="N158" s="30" t="n">
        <x:f>J158/Inputs!$B$8</x:f>
        <x:v>0.3871525381157192</x:v>
      </x:c>
      <x:c r="O158" s="30" t="n">
        <x:f>J158/(Inputs!$B$8-H158)</x:f>
        <x:v>0.3871525381157192</x:v>
      </x:c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 ht="15" hidden="0" customHeight="1">
      <x:c r="A159" s="18" t="n">
        <x:v>423.15</x:v>
      </x:c>
      <x:c r="B159" s="50" t="n">
        <x:v>0.18</x:v>
      </x:c>
      <x:c r="C159" s="18" t="n">
        <x:f>VLOOKUP(A159,Inputs!$A$13:$F$15,2,FALSE)</x:f>
        <x:v>221.9</x:v>
      </x:c>
      <x:c r="D159" s="18" t="n">
        <x:f>VLOOKUP(A159,Inputs!$A$13:$F$15,3,FALSE)</x:f>
        <x:v>103.31</x:v>
      </x:c>
      <x:c r="E159" s="18" t="n">
        <x:f>VLOOKUP(A159,Inputs!$A$13:$F$15,4,FALSE)</x:f>
        <x:v>8.8</x:v>
      </x:c>
      <x:c r="F159" s="18" t="n">
        <x:f>VLOOKUP(A159,Inputs!$A$13:$F$15,5,FALSE)</x:f>
        <x:v>12.12</x:v>
      </x:c>
      <x:c r="G159" s="18" t="n">
        <x:f>VLOOKUP(A159,Inputs!$A$13:$F$15,6,FALSE)</x:f>
        <x:v>4.94</x:v>
      </x:c>
      <x:c r="H159" s="30" t="n">
        <x:f>Inputs!$B$8*EXP(-(C159+E159)*B159)</x:f>
        <x:v>1.847214547486218e-18</x:v>
      </x:c>
      <x:c r="I159" s="30" t="n">
        <x:f>C159*Inputs!$B$8/(D159+F159-C159-E159)*(EXP(-(C159+E159)*B159)-EXP(-(D159+F159)*B159))</x:f>
        <x:v>3.647210554792893e-9</x:v>
      </x:c>
      <x:c r="J159" s="30" t="n">
        <x:f>D159*C159*Inputs!$B$8/(D159+F159-C159-E159)*((EXP(-(C159+E159)*B159)-EXP(-G159*B159))/(G159-C159-E159)-(EXP(-(D159+F159)*B159)-EXP(-G159*B159))/(G159-D159-F159))</x:f>
        <x:v>0.7554140085089834</x:v>
      </x:c>
      <x:c r="K159" s="30" t="n">
        <x:f>E159*Inputs!$B$8/(C159+E159)*(1-EXP(-(C159+E159)*B159))</x:f>
        <x:v>0.07628955353272648</x:v>
      </x:c>
      <x:c r="L159" s="30" t="n">
        <x:f>Inputs!$B$8-H159-I159-J159-K159</x:f>
        <x:v>1.1682964343110798</x:v>
      </x:c>
      <x:c r="M159" s="30" t="n">
        <x:f>(Inputs!$B$8-H159)/Inputs!$B$8</x:f>
        <x:v>1</x:v>
      </x:c>
      <x:c r="N159" s="30" t="n">
        <x:f>J159/Inputs!$B$8</x:f>
        <x:v>0.3777070042544917</x:v>
      </x:c>
      <x:c r="O159" s="30" t="n">
        <x:f>J159/(Inputs!$B$8-H159)</x:f>
        <x:v>0.3777070042544917</x:v>
      </x:c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 ht="15" hidden="0" customHeight="1">
      <x:c r="A160" s="18" t="n">
        <x:v>423.15</x:v>
      </x:c>
      <x:c r="B160" s="50" t="n">
        <x:v>0.185</x:v>
      </x:c>
      <x:c r="C160" s="18" t="n">
        <x:f>VLOOKUP(A160,Inputs!$A$13:$F$15,2,FALSE)</x:f>
        <x:v>221.9</x:v>
      </x:c>
      <x:c r="D160" s="18" t="n">
        <x:f>VLOOKUP(A160,Inputs!$A$13:$F$15,3,FALSE)</x:f>
        <x:v>103.31</x:v>
      </x:c>
      <x:c r="E160" s="18" t="n">
        <x:f>VLOOKUP(A160,Inputs!$A$13:$F$15,4,FALSE)</x:f>
        <x:v>8.8</x:v>
      </x:c>
      <x:c r="F160" s="18" t="n">
        <x:f>VLOOKUP(A160,Inputs!$A$13:$F$15,5,FALSE)</x:f>
        <x:v>12.12</x:v>
      </x:c>
      <x:c r="G160" s="18" t="n">
        <x:f>VLOOKUP(A160,Inputs!$A$13:$F$15,6,FALSE)</x:f>
        <x:v>4.94</x:v>
      </x:c>
      <x:c r="H160" s="30" t="n">
        <x:f>Inputs!$B$8*EXP(-(C160+E160)*B160)</x:f>
        <x:v>5.828524888150647e-19</x:v>
      </x:c>
      <x:c r="I160" s="30" t="n">
        <x:f>C160*Inputs!$B$8/(D160+F160-C160-E160)*(EXP(-(C160+E160)*B160)-EXP(-(D160+F160)*B160))</x:f>
        <x:v>2.0478954258647484e-9</x:v>
      </x:c>
      <x:c r="J160" s="30" t="n">
        <x:f>D160*C160*Inputs!$B$8/(D160+F160-C160-E160)*((EXP(-(C160+E160)*B160)-EXP(-G160*B160))/(G160-C160-E160)-(EXP(-(D160+F160)*B160)-EXP(-G160*B160))/(G160-D160-F160))</x:f>
        <x:v>0.7369838335847485</x:v>
      </x:c>
      <x:c r="K160" s="30" t="n">
        <x:f>E160*Inputs!$B$8/(C160+E160)*(1-EXP(-(C160+E160)*B160))</x:f>
        <x:v>0.07628955353272648</x:v>
      </x:c>
      <x:c r="L160" s="30" t="n">
        <x:f>Inputs!$B$8-H160-I160-J160-K160</x:f>
        <x:v>1.1867266108346297</x:v>
      </x:c>
      <x:c r="M160" s="30" t="n">
        <x:f>(Inputs!$B$8-H160)/Inputs!$B$8</x:f>
        <x:v>1</x:v>
      </x:c>
      <x:c r="N160" s="30" t="n">
        <x:f>J160/Inputs!$B$8</x:f>
        <x:v>0.36849191679237425</x:v>
      </x:c>
      <x:c r="O160" s="30" t="n">
        <x:f>J160/(Inputs!$B$8-H160)</x:f>
        <x:v>0.36849191679237425</x:v>
      </x:c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 ht="15" hidden="0" customHeight="1">
      <x:c r="A161" s="18" t="n">
        <x:v>423.15</x:v>
      </x:c>
      <x:c r="B161" s="50" t="n">
        <x:v>0.19</x:v>
      </x:c>
      <x:c r="C161" s="18" t="n">
        <x:f>VLOOKUP(A161,Inputs!$A$13:$F$15,2,FALSE)</x:f>
        <x:v>221.9</x:v>
      </x:c>
      <x:c r="D161" s="18" t="n">
        <x:f>VLOOKUP(A161,Inputs!$A$13:$F$15,3,FALSE)</x:f>
        <x:v>103.31</x:v>
      </x:c>
      <x:c r="E161" s="18" t="n">
        <x:f>VLOOKUP(A161,Inputs!$A$13:$F$15,4,FALSE)</x:f>
        <x:v>8.8</x:v>
      </x:c>
      <x:c r="F161" s="18" t="n">
        <x:f>VLOOKUP(A161,Inputs!$A$13:$F$15,5,FALSE)</x:f>
        <x:v>12.12</x:v>
      </x:c>
      <x:c r="G161" s="18" t="n">
        <x:f>VLOOKUP(A161,Inputs!$A$13:$F$15,6,FALSE)</x:f>
        <x:v>4.94</x:v>
      </x:c>
      <x:c r="H161" s="30" t="n">
        <x:f>Inputs!$B$8*EXP(-(C161+E161)*B161)</x:f>
        <x:v>1.8390772429776447e-19</x:v>
      </x:c>
      <x:c r="I161" s="30" t="n">
        <x:f>C161*Inputs!$B$8/(D161+F161-C161-E161)*(EXP(-(C161+E161)*B161)-EXP(-(D161+F161)*B161))</x:f>
        <x:v>1.1498858131406282e-9</x:v>
      </x:c>
      <x:c r="J161" s="30" t="n">
        <x:f>D161*C161*Inputs!$B$8/(D161+F161-C161-E161)*((EXP(-(C161+E161)*B161)-EXP(-G161*B161))/(G161-C161-E161)-(EXP(-(D161+F161)*B161)-EXP(-G161*B161))/(G161-D161-F161))</x:f>
        <x:v>0.71900330733283</x:v>
      </x:c>
      <x:c r="K161" s="30" t="n">
        <x:f>E161*Inputs!$B$8/(C161+E161)*(1-EXP(-(C161+E161)*B161))</x:f>
        <x:v>0.07628955353272648</x:v>
      </x:c>
      <x:c r="L161" s="30" t="n">
        <x:f>Inputs!$B$8-H161-I161-J161-K161</x:f>
        <x:v>1.204707137984558</x:v>
      </x:c>
      <x:c r="M161" s="30" t="n">
        <x:f>(Inputs!$B$8-H161)/Inputs!$B$8</x:f>
        <x:v>1</x:v>
      </x:c>
      <x:c r="N161" s="30" t="n">
        <x:f>J161/Inputs!$B$8</x:f>
        <x:v>0.359501653666415</x:v>
      </x:c>
      <x:c r="O161" s="30" t="n">
        <x:f>J161/(Inputs!$B$8-H161)</x:f>
        <x:v>0.359501653666415</x:v>
      </x:c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 ht="15" hidden="0" customHeight="1">
      <x:c r="A162" s="18" t="n">
        <x:v>423.15</x:v>
      </x:c>
      <x:c r="B162" s="50" t="n">
        <x:v>0.195</x:v>
      </x:c>
      <x:c r="C162" s="18" t="n">
        <x:f>VLOOKUP(A162,Inputs!$A$13:$F$15,2,FALSE)</x:f>
        <x:v>221.9</x:v>
      </x:c>
      <x:c r="D162" s="18" t="n">
        <x:f>VLOOKUP(A162,Inputs!$A$13:$F$15,3,FALSE)</x:f>
        <x:v>103.31</x:v>
      </x:c>
      <x:c r="E162" s="18" t="n">
        <x:f>VLOOKUP(A162,Inputs!$A$13:$F$15,4,FALSE)</x:f>
        <x:v>8.8</x:v>
      </x:c>
      <x:c r="F162" s="18" t="n">
        <x:f>VLOOKUP(A162,Inputs!$A$13:$F$15,5,FALSE)</x:f>
        <x:v>12.12</x:v>
      </x:c>
      <x:c r="G162" s="18" t="n">
        <x:f>VLOOKUP(A162,Inputs!$A$13:$F$15,6,FALSE)</x:f>
        <x:v>4.94</x:v>
      </x:c>
      <x:c r="H162" s="30" t="n">
        <x:f>Inputs!$B$8*EXP(-(C162+E162)*B162)</x:f>
        <x:v>5.802849212352608e-20</x:v>
      </x:c>
      <x:c r="I162" s="30" t="n">
        <x:f>C162*Inputs!$B$8/(D162+F162-C162-E162)*(EXP(-(C162+E162)*B162)-EXP(-(D162+F162)*B162))</x:f>
        <x:v>6.456566904849373e-10</x:v>
      </x:c>
      <x:c r="J162" s="30" t="n">
        <x:f>D162*C162*Inputs!$B$8/(D162+F162-C162-E162)*((EXP(-(C162+E162)*B162)-EXP(-G162*B162))/(G162-C162-E162)-(EXP(-(D162+F162)*B162)-EXP(-G162*B162))/(G162-D162-F162))</x:f>
        <x:v>0.7014614597432741</x:v>
      </x:c>
      <x:c r="K162" s="30" t="n">
        <x:f>E162*Inputs!$B$8/(C162+E162)*(1-EXP(-(C162+E162)*B162))</x:f>
        <x:v>0.07628955353272648</x:v>
      </x:c>
      <x:c r="L162" s="30" t="n">
        <x:f>Inputs!$B$8-H162-I162-J162-K162</x:f>
        <x:v>1.222248986078343</x:v>
      </x:c>
      <x:c r="M162" s="30" t="n">
        <x:f>(Inputs!$B$8-H162)/Inputs!$B$8</x:f>
        <x:v>1</x:v>
      </x:c>
      <x:c r="N162" s="30" t="n">
        <x:f>J162/Inputs!$B$8</x:f>
        <x:v>0.35073072987163706</x:v>
      </x:c>
      <x:c r="O162" s="30" t="n">
        <x:f>J162/(Inputs!$B$8-H162)</x:f>
        <x:v>0.35073072987163706</x:v>
      </x:c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 ht="15" hidden="0" customHeight="1">
      <x:c r="A163" s="18" t="n">
        <x:v>423.15</x:v>
      </x:c>
      <x:c r="B163" s="50" t="n">
        <x:v>0.2</x:v>
      </x:c>
      <x:c r="C163" s="18" t="n">
        <x:f>VLOOKUP(A163,Inputs!$A$13:$F$15,2,FALSE)</x:f>
        <x:v>221.9</x:v>
      </x:c>
      <x:c r="D163" s="18" t="n">
        <x:f>VLOOKUP(A163,Inputs!$A$13:$F$15,3,FALSE)</x:f>
        <x:v>103.31</x:v>
      </x:c>
      <x:c r="E163" s="18" t="n">
        <x:f>VLOOKUP(A163,Inputs!$A$13:$F$15,4,FALSE)</x:f>
        <x:v>8.8</x:v>
      </x:c>
      <x:c r="F163" s="18" t="n">
        <x:f>VLOOKUP(A163,Inputs!$A$13:$F$15,5,FALSE)</x:f>
        <x:v>12.12</x:v>
      </x:c>
      <x:c r="G163" s="18" t="n">
        <x:f>VLOOKUP(A163,Inputs!$A$13:$F$15,6,FALSE)</x:f>
        <x:v>4.94</x:v>
      </x:c>
      <x:c r="H163" s="30" t="n">
        <x:f>Inputs!$B$8*EXP(-(C163+E163)*B163)</x:f>
        <x:v>1.8309757847245894e-20</x:v>
      </x:c>
      <x:c r="I163" s="30" t="n">
        <x:f>C163*Inputs!$B$8/(D163+F163-C163-E163)*(EXP(-(C163+E163)*B163)-EXP(-(D163+F163)*B163))</x:f>
        <x:v>3.6253387699840305e-10</x:v>
      </x:c>
      <x:c r="J163" s="30" t="n">
        <x:f>D163*C163*Inputs!$B$8/(D163+F163-C163-E163)*((EXP(-(C163+E163)*B163)-EXP(-G163*B163))/(G163-C163-E163)-(EXP(-(D163+F163)*B163)-EXP(-G163*B163))/(G163-D163-F163))</x:f>
        <x:v>0.6843475883273356</x:v>
      </x:c>
      <x:c r="K163" s="30" t="n">
        <x:f>E163*Inputs!$B$8/(C163+E163)*(1-EXP(-(C163+E163)*B163))</x:f>
        <x:v>0.07628955353272648</x:v>
      </x:c>
      <x:c r="L163" s="30" t="n">
        <x:f>Inputs!$B$8-H163-I163-J163-K163</x:f>
        <x:v>1.239362857777404</x:v>
      </x:c>
      <x:c r="M163" s="30" t="n">
        <x:f>(Inputs!$B$8-H163)/Inputs!$B$8</x:f>
        <x:v>1</x:v>
      </x:c>
      <x:c r="N163" s="30" t="n">
        <x:f>J163/Inputs!$B$8</x:f>
        <x:v>0.3421737941636678</x:v>
      </x:c>
      <x:c r="O163" s="30" t="n">
        <x:f>J163/(Inputs!$B$8-H163)</x:f>
        <x:v>0.3421737941636678</x:v>
      </x:c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 ht="15" hidden="0" customHeight="1">
      <x:c r="A164" s="18" t="n">
        <x:v>423.15</x:v>
      </x:c>
      <x:c r="B164" s="50" t="n">
        <x:v>0.20500000000000002</x:v>
      </x:c>
      <x:c r="C164" s="18" t="n">
        <x:f>VLOOKUP(A164,Inputs!$A$13:$F$15,2,FALSE)</x:f>
        <x:v>221.9</x:v>
      </x:c>
      <x:c r="D164" s="18" t="n">
        <x:f>VLOOKUP(A164,Inputs!$A$13:$F$15,3,FALSE)</x:f>
        <x:v>103.31</x:v>
      </x:c>
      <x:c r="E164" s="18" t="n">
        <x:f>VLOOKUP(A164,Inputs!$A$13:$F$15,4,FALSE)</x:f>
        <x:v>8.8</x:v>
      </x:c>
      <x:c r="F164" s="18" t="n">
        <x:f>VLOOKUP(A164,Inputs!$A$13:$F$15,5,FALSE)</x:f>
        <x:v>12.12</x:v>
      </x:c>
      <x:c r="G164" s="18" t="n">
        <x:f>VLOOKUP(A164,Inputs!$A$13:$F$15,6,FALSE)</x:f>
        <x:v>4.94</x:v>
      </x:c>
      <x:c r="H164" s="30" t="n">
        <x:f>Inputs!$B$8*EXP(-(C164+E164)*B164)</x:f>
        <x:v>5.777286642415886e-21</x:v>
      </x:c>
      <x:c r="I164" s="30" t="n">
        <x:f>C164*Inputs!$B$8/(D164+F164-C164-E164)*(EXP(-(C164+E164)*B164)-EXP(-(D164+F164)*B164))</x:f>
        <x:v>2.0356144976739142e-10</x:v>
      </x:c>
      <x:c r="J164" s="30" t="n">
        <x:f>D164*C164*Inputs!$B$8/(D164+F164-C164-E164)*((EXP(-(C164+E164)*B164)-EXP(-G164*B164))/(G164-C164-E164)-(EXP(-(D164+F164)*B164)-EXP(-G164*B164))/(G164-D164-F164))</x:f>
        <x:v>0.6676512516428555</x:v>
      </x:c>
      <x:c r="K164" s="30" t="n">
        <x:f>E164*Inputs!$B$8/(C164+E164)*(1-EXP(-(C164+E164)*B164))</x:f>
        <x:v>0.07628955353272648</x:v>
      </x:c>
      <x:c r="L164" s="30" t="n">
        <x:f>Inputs!$B$8-H164-I164-J164-K164</x:f>
        <x:v>1.2560591946208568</x:v>
      </x:c>
      <x:c r="M164" s="30" t="n">
        <x:f>(Inputs!$B$8-H164)/Inputs!$B$8</x:f>
        <x:v>1</x:v>
      </x:c>
      <x:c r="N164" s="30" t="n">
        <x:f>J164/Inputs!$B$8</x:f>
        <x:v>0.3338256258214278</x:v>
      </x:c>
      <x:c r="O164" s="30" t="n">
        <x:f>J164/(Inputs!$B$8-H164)</x:f>
        <x:v>0.3338256258214278</x:v>
      </x:c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 ht="15" hidden="0" customHeight="1">
      <x:c r="A165" s="18" t="n">
        <x:v>423.15</x:v>
      </x:c>
      <x:c r="B165" s="50" t="n">
        <x:v>0.21</x:v>
      </x:c>
      <x:c r="C165" s="18" t="n">
        <x:f>VLOOKUP(A165,Inputs!$A$13:$F$15,2,FALSE)</x:f>
        <x:v>221.9</x:v>
      </x:c>
      <x:c r="D165" s="18" t="n">
        <x:f>VLOOKUP(A165,Inputs!$A$13:$F$15,3,FALSE)</x:f>
        <x:v>103.31</x:v>
      </x:c>
      <x:c r="E165" s="18" t="n">
        <x:f>VLOOKUP(A165,Inputs!$A$13:$F$15,4,FALSE)</x:f>
        <x:v>8.8</x:v>
      </x:c>
      <x:c r="F165" s="18" t="n">
        <x:f>VLOOKUP(A165,Inputs!$A$13:$F$15,5,FALSE)</x:f>
        <x:v>12.12</x:v>
      </x:c>
      <x:c r="G165" s="18" t="n">
        <x:f>VLOOKUP(A165,Inputs!$A$13:$F$15,6,FALSE)</x:f>
        <x:v>4.94</x:v>
      </x:c>
      <x:c r="H165" s="30" t="n">
        <x:f>Inputs!$B$8*EXP(-(C165+E165)*B165)</x:f>
        <x:v>1.8229100148180136e-21</x:v>
      </x:c>
      <x:c r="I165" s="30" t="n">
        <x:f>C165*Inputs!$B$8/(D165+F165-C165-E165)*(EXP(-(C165+E165)*B165)-EXP(-(D165+F165)*B165))</x:f>
        <x:v>1.1429901165019031e-10</x:v>
      </x:c>
      <x:c r="J165" s="30" t="n">
        <x:f>D165*C165*Inputs!$B$8/(D165+F165-C165-E165)*((EXP(-(C165+E165)*B165)-EXP(-G165*B165))/(G165-C165-E165)-(EXP(-(D165+F165)*B165)-EXP(-G165*B165))/(G165-D165-F165))</x:f>
        <x:v>0.6513622629547099</x:v>
      </x:c>
      <x:c r="K165" s="30" t="n">
        <x:f>E165*Inputs!$B$8/(C165+E165)*(1-EXP(-(C165+E165)*B165))</x:f>
        <x:v>0.07628955353272648</x:v>
      </x:c>
      <x:c r="L165" s="30" t="n">
        <x:f>Inputs!$B$8-H165-I165-J165-K165</x:f>
        <x:v>1.2723481833982646</x:v>
      </x:c>
      <x:c r="M165" s="30" t="n">
        <x:f>(Inputs!$B$8-H165)/Inputs!$B$8</x:f>
        <x:v>1</x:v>
      </x:c>
      <x:c r="N165" s="30" t="n">
        <x:f>J165/Inputs!$B$8</x:f>
        <x:v>0.32568113147735495</x:v>
      </x:c>
      <x:c r="O165" s="30" t="n">
        <x:f>J165/(Inputs!$B$8-H165)</x:f>
        <x:v>0.32568113147735495</x:v>
      </x:c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 ht="15" hidden="0" customHeight="1">
      <x:c r="A166" s="18" t="n">
        <x:v>423.15</x:v>
      </x:c>
      <x:c r="B166" s="50" t="n">
        <x:v>0.215</x:v>
      </x:c>
      <x:c r="C166" s="18" t="n">
        <x:f>VLOOKUP(A166,Inputs!$A$13:$F$15,2,FALSE)</x:f>
        <x:v>221.9</x:v>
      </x:c>
      <x:c r="D166" s="18" t="n">
        <x:f>VLOOKUP(A166,Inputs!$A$13:$F$15,3,FALSE)</x:f>
        <x:v>103.31</x:v>
      </x:c>
      <x:c r="E166" s="18" t="n">
        <x:f>VLOOKUP(A166,Inputs!$A$13:$F$15,4,FALSE)</x:f>
        <x:v>8.8</x:v>
      </x:c>
      <x:c r="F166" s="18" t="n">
        <x:f>VLOOKUP(A166,Inputs!$A$13:$F$15,5,FALSE)</x:f>
        <x:v>12.12</x:v>
      </x:c>
      <x:c r="G166" s="18" t="n">
        <x:f>VLOOKUP(A166,Inputs!$A$13:$F$15,6,FALSE)</x:f>
        <x:v>4.94</x:v>
      </x:c>
      <x:c r="H166" s="30" t="n">
        <x:f>Inputs!$B$8*EXP(-(C166+E166)*B166)</x:f>
        <x:v>5.751836680089339e-22</x:v>
      </x:c>
      <x:c r="I166" s="30" t="n">
        <x:f>C166*Inputs!$B$8/(D166+F166-C166-E166)*(EXP(-(C166+E166)*B166)-EXP(-(D166+F166)*B166))</x:f>
        <x:v>6.41784781892733e-11</x:v>
      </x:c>
      <x:c r="J166" s="30" t="n">
        <x:f>D166*C166*Inputs!$B$8/(D166+F166-C166-E166)*((EXP(-(C166+E166)*B166)-EXP(-G166*B166))/(G166-C166-E166)-(EXP(-(D166+F166)*B166)-EXP(-G166*B166))/(G166-D166-F166))</x:f>
        <x:v>0.6354706840370663</x:v>
      </x:c>
      <x:c r="K166" s="30" t="n">
        <x:f>E166*Inputs!$B$8/(C166+E166)*(1-EXP(-(C166+E166)*B166))</x:f>
        <x:v>0.07628955353272648</x:v>
      </x:c>
      <x:c r="L166" s="30" t="n">
        <x:f>Inputs!$B$8-H166-I166-J166-K166</x:f>
        <x:v>1.2882397623660289</x:v>
      </x:c>
      <x:c r="M166" s="30" t="n">
        <x:f>(Inputs!$B$8-H166)/Inputs!$B$8</x:f>
        <x:v>1</x:v>
      </x:c>
      <x:c r="N166" s="30" t="n">
        <x:f>J166/Inputs!$B$8</x:f>
        <x:v>0.31773534201853315</x:v>
      </x:c>
      <x:c r="O166" s="30" t="n">
        <x:f>J166/(Inputs!$B$8-H166)</x:f>
        <x:v>0.31773534201853315</x:v>
      </x:c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 ht="15" hidden="0" customHeight="1">
      <x:c r="A167" s="18" t="n">
        <x:v>423.15</x:v>
      </x:c>
      <x:c r="B167" s="50" t="n">
        <x:v>0.22</x:v>
      </x:c>
      <x:c r="C167" s="18" t="n">
        <x:f>VLOOKUP(A167,Inputs!$A$13:$F$15,2,FALSE)</x:f>
        <x:v>221.9</x:v>
      </x:c>
      <x:c r="D167" s="18" t="n">
        <x:f>VLOOKUP(A167,Inputs!$A$13:$F$15,3,FALSE)</x:f>
        <x:v>103.31</x:v>
      </x:c>
      <x:c r="E167" s="18" t="n">
        <x:f>VLOOKUP(A167,Inputs!$A$13:$F$15,4,FALSE)</x:f>
        <x:v>8.8</x:v>
      </x:c>
      <x:c r="F167" s="18" t="n">
        <x:f>VLOOKUP(A167,Inputs!$A$13:$F$15,5,FALSE)</x:f>
        <x:v>12.12</x:v>
      </x:c>
      <x:c r="G167" s="18" t="n">
        <x:f>VLOOKUP(A167,Inputs!$A$13:$F$15,6,FALSE)</x:f>
        <x:v>4.94</x:v>
      </x:c>
      <x:c r="H167" s="30" t="n">
        <x:f>Inputs!$B$8*EXP(-(C167+E167)*B167)</x:f>
        <x:v>1.8148797760444573e-22</x:v>
      </x:c>
      <x:c r="I167" s="30" t="n">
        <x:f>C167*Inputs!$B$8/(D167+F167-C167-E167)*(EXP(-(C167+E167)*B167)-EXP(-(D167+F167)*B167))</x:f>
        <x:v>3.603598144201366e-11</x:v>
      </x:c>
      <x:c r="J167" s="30" t="n">
        <x:f>D167*C167*Inputs!$B$8/(D167+F167-C167-E167)*((EXP(-(C167+E167)*B167)-EXP(-G167*B167))/(G167-C167-E167)-(EXP(-(D167+F167)*B167)-EXP(-G167*B167))/(G167-D167-F167))</x:f>
        <x:v>0.6199668191196365</x:v>
      </x:c>
      <x:c r="K167" s="30" t="n">
        <x:f>E167*Inputs!$B$8/(C167+E167)*(1-EXP(-(C167+E167)*B167))</x:f>
        <x:v>0.07628955353272648</x:v>
      </x:c>
      <x:c r="L167" s="30" t="n">
        <x:f>Inputs!$B$8-H167-I167-J167-K167</x:f>
        <x:v>1.3037436273116012</x:v>
      </x:c>
      <x:c r="M167" s="30" t="n">
        <x:f>(Inputs!$B$8-H167)/Inputs!$B$8</x:f>
        <x:v>1</x:v>
      </x:c>
      <x:c r="N167" s="30" t="n">
        <x:f>J167/Inputs!$B$8</x:f>
        <x:v>0.30998340955981823</x:v>
      </x:c>
      <x:c r="O167" s="30" t="n">
        <x:f>J167/(Inputs!$B$8-H167)</x:f>
        <x:v>0.30998340955981823</x:v>
      </x:c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 ht="15" hidden="0" customHeight="1">
      <x:c r="A168" s="18" t="n">
        <x:v>423.15</x:v>
      </x:c>
      <x:c r="B168" s="50" t="n">
        <x:v>0.225</x:v>
      </x:c>
      <x:c r="C168" s="18" t="n">
        <x:f>VLOOKUP(A168,Inputs!$A$13:$F$15,2,FALSE)</x:f>
        <x:v>221.9</x:v>
      </x:c>
      <x:c r="D168" s="18" t="n">
        <x:f>VLOOKUP(A168,Inputs!$A$13:$F$15,3,FALSE)</x:f>
        <x:v>103.31</x:v>
      </x:c>
      <x:c r="E168" s="18" t="n">
        <x:f>VLOOKUP(A168,Inputs!$A$13:$F$15,4,FALSE)</x:f>
        <x:v>8.8</x:v>
      </x:c>
      <x:c r="F168" s="18" t="n">
        <x:f>VLOOKUP(A168,Inputs!$A$13:$F$15,5,FALSE)</x:f>
        <x:v>12.12</x:v>
      </x:c>
      <x:c r="G168" s="18" t="n">
        <x:f>VLOOKUP(A168,Inputs!$A$13:$F$15,6,FALSE)</x:f>
        <x:v>4.94</x:v>
      </x:c>
      <x:c r="H168" s="30" t="n">
        <x:f>Inputs!$B$8*EXP(-(C168+E168)*B168)</x:f>
        <x:v>5.726498829316585e-23</x:v>
      </x:c>
      <x:c r="I168" s="30" t="n">
        <x:f>C168*Inputs!$B$8/(D168+F168-C168-E168)*(EXP(-(C168+E168)*B168)-EXP(-(D168+F168)*B168))</x:f>
        <x:v>2.02340721550779e-11</x:v>
      </x:c>
      <x:c r="J168" s="30" t="n">
        <x:f>D168*C168*Inputs!$B$8/(D168+F168-C168-E168)*((EXP(-(C168+E168)*B168)-EXP(-G168*B168))/(G168-C168-E168)-(EXP(-(D168+F168)*B168)-EXP(-G168*B168))/(G168-D168-F168))</x:f>
        <x:v>0.6048412089775672</x:v>
      </x:c>
      <x:c r="K168" s="30" t="n">
        <x:f>E168*Inputs!$B$8/(C168+E168)*(1-EXP(-(C168+E168)*B168))</x:f>
        <x:v>0.07628955353272648</x:v>
      </x:c>
      <x:c r="L168" s="30" t="n">
        <x:f>Inputs!$B$8-H168-I168-J168-K168</x:f>
        <x:v>1.3188692374694724</x:v>
      </x:c>
      <x:c r="M168" s="30" t="n">
        <x:f>(Inputs!$B$8-H168)/Inputs!$B$8</x:f>
        <x:v>1</x:v>
      </x:c>
      <x:c r="N168" s="30" t="n">
        <x:f>J168/Inputs!$B$8</x:f>
        <x:v>0.3024206044887836</x:v>
      </x:c>
      <x:c r="O168" s="30" t="n">
        <x:f>J168/(Inputs!$B$8-H168)</x:f>
        <x:v>0.3024206044887836</x:v>
      </x:c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 ht="15" hidden="0" customHeight="1">
      <x:c r="A169" s="18" t="n">
        <x:v>423.15</x:v>
      </x:c>
      <x:c r="B169" s="50" t="n">
        <x:v>0.23</x:v>
      </x:c>
      <x:c r="C169" s="18" t="n">
        <x:f>VLOOKUP(A169,Inputs!$A$13:$F$15,2,FALSE)</x:f>
        <x:v>221.9</x:v>
      </x:c>
      <x:c r="D169" s="18" t="n">
        <x:f>VLOOKUP(A169,Inputs!$A$13:$F$15,3,FALSE)</x:f>
        <x:v>103.31</x:v>
      </x:c>
      <x:c r="E169" s="18" t="n">
        <x:f>VLOOKUP(A169,Inputs!$A$13:$F$15,4,FALSE)</x:f>
        <x:v>8.8</x:v>
      </x:c>
      <x:c r="F169" s="18" t="n">
        <x:f>VLOOKUP(A169,Inputs!$A$13:$F$15,5,FALSE)</x:f>
        <x:v>12.12</x:v>
      </x:c>
      <x:c r="G169" s="18" t="n">
        <x:f>VLOOKUP(A169,Inputs!$A$13:$F$15,6,FALSE)</x:f>
        <x:v>4.94</x:v>
      </x:c>
      <x:c r="H169" s="30" t="n">
        <x:f>Inputs!$B$8*EXP(-(C169+E169)*B169)</x:f>
        <x:v>1.8068849118830518e-23</x:v>
      </x:c>
      <x:c r="I169" s="30" t="n">
        <x:f>C169*Inputs!$B$8/(D169+F169-C169-E169)*(EXP(-(C169+E169)*B169)-EXP(-(D169+F169)*B169))</x:f>
        <x:v>1.1361357720614385e-11</x:v>
      </x:c>
      <x:c r="J169" s="30" t="n">
        <x:f>D169*C169*Inputs!$B$8/(D169+F169-C169-E169)*((EXP(-(C169+E169)*B169)-EXP(-G169*B169))/(G169-C169-E169)-(EXP(-(D169+F169)*B169)-EXP(-G169*B169))/(G169-D169-F169))</x:f>
        <x:v>0.5900846251632496</x:v>
      </x:c>
      <x:c r="K169" s="30" t="n">
        <x:f>E169*Inputs!$B$8/(C169+E169)*(1-EXP(-(C169+E169)*B169))</x:f>
        <x:v>0.07628955353272648</x:v>
      </x:c>
      <x:c r="L169" s="30" t="n">
        <x:f>Inputs!$B$8-H169-I169-J169-K169</x:f>
        <x:v>1.3336258212926628</x:v>
      </x:c>
      <x:c r="M169" s="30" t="n">
        <x:f>(Inputs!$B$8-H169)/Inputs!$B$8</x:f>
        <x:v>1</x:v>
      </x:c>
      <x:c r="N169" s="30" t="n">
        <x:f>J169/Inputs!$B$8</x:f>
        <x:v>0.2950423125816248</x:v>
      </x:c>
      <x:c r="O169" s="30" t="n">
        <x:f>J169/(Inputs!$B$8-H169)</x:f>
        <x:v>0.2950423125816248</x:v>
      </x:c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 ht="15" hidden="0" customHeight="1">
      <x:c r="A170" s="18" t="n">
        <x:v>423.15</x:v>
      </x:c>
      <x:c r="B170" s="50" t="n">
        <x:v>0.23500000000000001</x:v>
      </x:c>
      <x:c r="C170" s="18" t="n">
        <x:f>VLOOKUP(A170,Inputs!$A$13:$F$15,2,FALSE)</x:f>
        <x:v>221.9</x:v>
      </x:c>
      <x:c r="D170" s="18" t="n">
        <x:f>VLOOKUP(A170,Inputs!$A$13:$F$15,3,FALSE)</x:f>
        <x:v>103.31</x:v>
      </x:c>
      <x:c r="E170" s="18" t="n">
        <x:f>VLOOKUP(A170,Inputs!$A$13:$F$15,4,FALSE)</x:f>
        <x:v>8.8</x:v>
      </x:c>
      <x:c r="F170" s="18" t="n">
        <x:f>VLOOKUP(A170,Inputs!$A$13:$F$15,5,FALSE)</x:f>
        <x:v>12.12</x:v>
      </x:c>
      <x:c r="G170" s="18" t="n">
        <x:f>VLOOKUP(A170,Inputs!$A$13:$F$15,6,FALSE)</x:f>
        <x:v>4.94</x:v>
      </x:c>
      <x:c r="H170" s="30" t="n">
        <x:f>Inputs!$B$8*EXP(-(C170+E170)*B170)</x:f>
        <x:v>5.70127259622658e-24</x:v>
      </x:c>
      <x:c r="I170" s="30" t="n">
        <x:f>C170*Inputs!$B$8/(D170+F170-C170-E170)*(EXP(-(C170+E170)*B170)-EXP(-(D170+F170)*B170))</x:f>
        <x:v>6.379360924797107e-12</x:v>
      </x:c>
      <x:c r="J170" s="30" t="n">
        <x:f>D170*C170*Inputs!$B$8/(D170+F170-C170-E170)*((EXP(-(C170+E170)*B170)-EXP(-G170*B170))/(G170-C170-E170)-(EXP(-(D170+F170)*B170)-EXP(-G170*B170))/(G170-D170-F170))</x:f>
        <x:v>0.575688064377579</x:v>
      </x:c>
      <x:c r="K170" s="30" t="n">
        <x:f>E170*Inputs!$B$8/(C170+E170)*(1-EXP(-(C170+E170)*B170))</x:f>
        <x:v>0.07628955353272648</x:v>
      </x:c>
      <x:c r="L170" s="30" t="n">
        <x:f>Inputs!$B$8-H170-I170-J170-K170</x:f>
        <x:v>1.348022382083315</x:v>
      </x:c>
      <x:c r="M170" s="30" t="n">
        <x:f>(Inputs!$B$8-H170)/Inputs!$B$8</x:f>
        <x:v>1</x:v>
      </x:c>
      <x:c r="N170" s="30" t="n">
        <x:f>J170/Inputs!$B$8</x:f>
        <x:v>0.2878440321887895</x:v>
      </x:c>
      <x:c r="O170" s="30" t="n">
        <x:f>J170/(Inputs!$B$8-H170)</x:f>
        <x:v>0.2878440321887895</x:v>
      </x:c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 ht="15" hidden="0" customHeight="1">
      <x:c r="A171" s="18" t="n">
        <x:v>423.15</x:v>
      </x:c>
      <x:c r="B171" s="50" t="n">
        <x:v>0.24</x:v>
      </x:c>
      <x:c r="C171" s="18" t="n">
        <x:f>VLOOKUP(A171,Inputs!$A$13:$F$15,2,FALSE)</x:f>
        <x:v>221.9</x:v>
      </x:c>
      <x:c r="D171" s="18" t="n">
        <x:f>VLOOKUP(A171,Inputs!$A$13:$F$15,3,FALSE)</x:f>
        <x:v>103.31</x:v>
      </x:c>
      <x:c r="E171" s="18" t="n">
        <x:f>VLOOKUP(A171,Inputs!$A$13:$F$15,4,FALSE)</x:f>
        <x:v>8.8</x:v>
      </x:c>
      <x:c r="F171" s="18" t="n">
        <x:f>VLOOKUP(A171,Inputs!$A$13:$F$15,5,FALSE)</x:f>
        <x:v>12.12</x:v>
      </x:c>
      <x:c r="G171" s="18" t="n">
        <x:f>VLOOKUP(A171,Inputs!$A$13:$F$15,6,FALSE)</x:f>
        <x:v>4.94</x:v>
      </x:c>
      <x:c r="H171" s="30" t="n">
        <x:f>Inputs!$B$8*EXP(-(C171+E171)*B171)</x:f>
        <x:v>1.7989252665024307e-24</x:v>
      </x:c>
      <x:c r="I171" s="30" t="n">
        <x:f>C171*Inputs!$B$8/(D171+F171-C171-E171)*(EXP(-(C171+E171)*B171)-EXP(-(D171+F171)*B171))</x:f>
        <x:v>3.581987893486001e-12</x:v>
      </x:c>
      <x:c r="J171" s="30" t="n">
        <x:f>D171*C171*Inputs!$B$8/(D171+F171-C171-E171)*((EXP(-(C171+E171)*B171)-EXP(-G171*B171))/(G171-C171-E171)-(EXP(-(D171+F171)*B171)-EXP(-G171*B171))/(G171-D171-F171))</x:f>
        <x:v>0.5616427429778243</x:v>
      </x:c>
      <x:c r="K171" s="30" t="n">
        <x:f>E171*Inputs!$B$8/(C171+E171)*(1-EXP(-(C171+E171)*B171))</x:f>
        <x:v>0.07628955353272648</x:v>
      </x:c>
      <x:c r="L171" s="30" t="n">
        <x:f>Inputs!$B$8-H171-I171-J171-K171</x:f>
        <x:v>1.362067703485867</x:v>
      </x:c>
      <x:c r="M171" s="30" t="n">
        <x:f>(Inputs!$B$8-H171)/Inputs!$B$8</x:f>
        <x:v>1</x:v>
      </x:c>
      <x:c r="N171" s="30" t="n">
        <x:f>J171/Inputs!$B$8</x:f>
        <x:v>0.2808213714889122</x:v>
      </x:c>
      <x:c r="O171" s="30" t="n">
        <x:f>J171/(Inputs!$B$8-H171)</x:f>
        <x:v>0.2808213714889122</x:v>
      </x:c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 ht="15" hidden="0" customHeight="1">
      <x:c r="A172" s="18" t="n">
        <x:v>423.15</x:v>
      </x:c>
      <x:c r="B172" s="50" t="n">
        <x:v>0.245</x:v>
      </x:c>
      <x:c r="C172" s="18" t="n">
        <x:f>VLOOKUP(A172,Inputs!$A$13:$F$15,2,FALSE)</x:f>
        <x:v>221.9</x:v>
      </x:c>
      <x:c r="D172" s="18" t="n">
        <x:f>VLOOKUP(A172,Inputs!$A$13:$F$15,3,FALSE)</x:f>
        <x:v>103.31</x:v>
      </x:c>
      <x:c r="E172" s="18" t="n">
        <x:f>VLOOKUP(A172,Inputs!$A$13:$F$15,4,FALSE)</x:f>
        <x:v>8.8</x:v>
      </x:c>
      <x:c r="F172" s="18" t="n">
        <x:f>VLOOKUP(A172,Inputs!$A$13:$F$15,5,FALSE)</x:f>
        <x:v>12.12</x:v>
      </x:c>
      <x:c r="G172" s="18" t="n">
        <x:f>VLOOKUP(A172,Inputs!$A$13:$F$15,6,FALSE)</x:f>
        <x:v>4.94</x:v>
      </x:c>
      <x:c r="H172" s="30" t="n">
        <x:f>Inputs!$B$8*EXP(-(C172+E172)*B172)</x:f>
        <x:v>5.676157489123868e-25</x:v>
      </x:c>
      <x:c r="I172" s="30" t="n">
        <x:f>C172*Inputs!$B$8/(D172+F172-C172-E172)*(EXP(-(C172+E172)*B172)-EXP(-(D172+F172)*B172))</x:f>
        <x:v>2.0112731385368394e-12</x:v>
      </x:c>
      <x:c r="J172" s="30" t="n">
        <x:f>D172*C172*Inputs!$B$8/(D172+F172-C172-E172)*((EXP(-(C172+E172)*B172)-EXP(-G172*B172))/(G172-C172-E172)-(EXP(-(D172+F172)*B172)-EXP(-G172*B172))/(G172-D172-F172))</x:f>
        <x:v>0.5479400916190869</x:v>
      </x:c>
      <x:c r="K172" s="30" t="n">
        <x:f>E172*Inputs!$B$8/(C172+E172)*(1-EXP(-(C172+E172)*B172))</x:f>
        <x:v>0.07628955353272648</x:v>
      </x:c>
      <x:c r="L172" s="30" t="n">
        <x:f>Inputs!$B$8-H172-I172-J172-K172</x:f>
        <x:v>1.3757703548461753</x:v>
      </x:c>
      <x:c r="M172" s="30" t="n">
        <x:f>(Inputs!$B$8-H172)/Inputs!$B$8</x:f>
        <x:v>1</x:v>
      </x:c>
      <x:c r="N172" s="30" t="n">
        <x:f>J172/Inputs!$B$8</x:f>
        <x:v>0.2739700458095434</x:v>
      </x:c>
      <x:c r="O172" s="30" t="n">
        <x:f>J172/(Inputs!$B$8-H172)</x:f>
        <x:v>0.2739700458095434</x:v>
      </x:c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 ht="15" hidden="0" customHeight="1">
      <x:c r="A173" s="18" t="n">
        <x:v>423.15</x:v>
      </x:c>
      <x:c r="B173" s="50" t="n">
        <x:v>0.25</x:v>
      </x:c>
      <x:c r="C173" s="18" t="n">
        <x:f>VLOOKUP(A173,Inputs!$A$13:$F$15,2,FALSE)</x:f>
        <x:v>221.9</x:v>
      </x:c>
      <x:c r="D173" s="18" t="n">
        <x:f>VLOOKUP(A173,Inputs!$A$13:$F$15,3,FALSE)</x:f>
        <x:v>103.31</x:v>
      </x:c>
      <x:c r="E173" s="18" t="n">
        <x:f>VLOOKUP(A173,Inputs!$A$13:$F$15,4,FALSE)</x:f>
        <x:v>8.8</x:v>
      </x:c>
      <x:c r="F173" s="18" t="n">
        <x:f>VLOOKUP(A173,Inputs!$A$13:$F$15,5,FALSE)</x:f>
        <x:v>12.12</x:v>
      </x:c>
      <x:c r="G173" s="18" t="n">
        <x:f>VLOOKUP(A173,Inputs!$A$13:$F$15,6,FALSE)</x:f>
        <x:v>4.94</x:v>
      </x:c>
      <x:c r="H173" s="30" t="n">
        <x:f>Inputs!$B$8*EXP(-(C173+E173)*B173)</x:f>
        <x:v>1.7910006847576534e-25</x:v>
      </x:c>
      <x:c r="I173" s="30" t="n">
        <x:f>C173*Inputs!$B$8/(D173+F173-C173-E173)*(EXP(-(C173+E173)*B173)-EXP(-(D173+F173)*B173))</x:f>
        <x:v>1.1293225320932823e-12</x:v>
      </x:c>
      <x:c r="J173" s="30" t="n">
        <x:f>D173*C173*Inputs!$B$8/(D173+F173-C173-E173)*((EXP(-(C173+E173)*B173)-EXP(-G173*B173))/(G173-C173-E173)-(EXP(-(D173+F173)*B173)-EXP(-G173*B173))/(G173-D173-F173))</x:f>
        <x:v>0.5345717500262711</x:v>
      </x:c>
      <x:c r="K173" s="30" t="n">
        <x:f>E173*Inputs!$B$8/(C173+E173)*(1-EXP(-(C173+E173)*B173))</x:f>
        <x:v>0.07628955353272648</x:v>
      </x:c>
      <x:c r="L173" s="30" t="n">
        <x:f>Inputs!$B$8-H173-I173-J173-K173</x:f>
        <x:v>1.3891386964398733</x:v>
      </x:c>
      <x:c r="M173" s="30" t="n">
        <x:f>(Inputs!$B$8-H173)/Inputs!$B$8</x:f>
        <x:v>1</x:v>
      </x:c>
      <x:c r="N173" s="30" t="n">
        <x:f>J173/Inputs!$B$8</x:f>
        <x:v>0.26728587501313555</x:v>
      </x:c>
      <x:c r="O173" s="30" t="n">
        <x:f>J173/(Inputs!$B$8-H173)</x:f>
        <x:v>0.26728587501313555</x:v>
      </x:c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 ht="15" hidden="0" customHeight="1">
      <x:c r="A174" s="18" t="n">
        <x:v>423.15</x:v>
      </x:c>
      <x:c r="B174" s="50" t="n">
        <x:v>0.255</x:v>
      </x:c>
      <x:c r="C174" s="18" t="n">
        <x:f>VLOOKUP(A174,Inputs!$A$13:$F$15,2,FALSE)</x:f>
        <x:v>221.9</x:v>
      </x:c>
      <x:c r="D174" s="18" t="n">
        <x:f>VLOOKUP(A174,Inputs!$A$13:$F$15,3,FALSE)</x:f>
        <x:v>103.31</x:v>
      </x:c>
      <x:c r="E174" s="18" t="n">
        <x:f>VLOOKUP(A174,Inputs!$A$13:$F$15,4,FALSE)</x:f>
        <x:v>8.8</x:v>
      </x:c>
      <x:c r="F174" s="18" t="n">
        <x:f>VLOOKUP(A174,Inputs!$A$13:$F$15,5,FALSE)</x:f>
        <x:v>12.12</x:v>
      </x:c>
      <x:c r="G174" s="18" t="n">
        <x:f>VLOOKUP(A174,Inputs!$A$13:$F$15,6,FALSE)</x:f>
        <x:v>4.94</x:v>
      </x:c>
      <x:c r="H174" s="30" t="n">
        <x:f>Inputs!$B$8*EXP(-(C174+E174)*B174)</x:f>
        <x:v>5.651153018478878e-26</x:v>
      </x:c>
      <x:c r="I174" s="30" t="n">
        <x:f>C174*Inputs!$B$8/(D174+F174-C174-E174)*(EXP(-(C174+E174)*B174)-EXP(-(D174+F174)*B174))</x:f>
        <x:v>6.341104830849852e-13</x:v>
      </x:c>
      <x:c r="J174" s="30" t="n">
        <x:f>D174*C174*Inputs!$B$8/(D174+F174-C174-E174)*((EXP(-(C174+E174)*B174)-EXP(-G174*B174))/(G174-C174-E174)-(EXP(-(D174+F174)*B174)-EXP(-G174*B174))/(G174-D174-F174))</x:f>
        <x:v>0.5215295618934762</x:v>
      </x:c>
      <x:c r="K174" s="30" t="n">
        <x:f>E174*Inputs!$B$8/(C174+E174)*(1-EXP(-(C174+E174)*B174))</x:f>
        <x:v>0.07628955353272648</x:v>
      </x:c>
      <x:c r="L174" s="30" t="n">
        <x:f>Inputs!$B$8-H174-I174-J174-K174</x:f>
        <x:v>1.4021808845731631</x:v>
      </x:c>
      <x:c r="M174" s="30" t="n">
        <x:f>(Inputs!$B$8-H174)/Inputs!$B$8</x:f>
        <x:v>1</x:v>
      </x:c>
      <x:c r="N174" s="30" t="n">
        <x:f>J174/Inputs!$B$8</x:f>
        <x:v>0.2607647809467381</x:v>
      </x:c>
      <x:c r="O174" s="30" t="n">
        <x:f>J174/(Inputs!$B$8-H174)</x:f>
        <x:v>0.2607647809467381</x:v>
      </x:c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 ht="15" hidden="0" customHeight="1">
      <x:c r="A175" s="18" t="n">
        <x:v>423.15</x:v>
      </x:c>
      <x:c r="B175" s="50" t="n">
        <x:v>0.26</x:v>
      </x:c>
      <x:c r="C175" s="18" t="n">
        <x:f>VLOOKUP(A175,Inputs!$A$13:$F$15,2,FALSE)</x:f>
        <x:v>221.9</x:v>
      </x:c>
      <x:c r="D175" s="18" t="n">
        <x:f>VLOOKUP(A175,Inputs!$A$13:$F$15,3,FALSE)</x:f>
        <x:v>103.31</x:v>
      </x:c>
      <x:c r="E175" s="18" t="n">
        <x:f>VLOOKUP(A175,Inputs!$A$13:$F$15,4,FALSE)</x:f>
        <x:v>8.8</x:v>
      </x:c>
      <x:c r="F175" s="18" t="n">
        <x:f>VLOOKUP(A175,Inputs!$A$13:$F$15,5,FALSE)</x:f>
        <x:v>12.12</x:v>
      </x:c>
      <x:c r="G175" s="18" t="n">
        <x:f>VLOOKUP(A175,Inputs!$A$13:$F$15,6,FALSE)</x:f>
        <x:v>4.94</x:v>
      </x:c>
      <x:c r="H175" s="30" t="n">
        <x:f>Inputs!$B$8*EXP(-(C175+E175)*B175)</x:f>
        <x:v>1.783111012187259e-26</x:v>
      </x:c>
      <x:c r="I175" s="30" t="n">
        <x:f>C175*Inputs!$B$8/(D175+F175-C175-E175)*(EXP(-(C175+E175)*B175)-EXP(-(D175+F175)*B175))</x:f>
        <x:v>3.5605072362536996e-13</x:v>
      </x:c>
      <x:c r="J175" s="30" t="n">
        <x:f>D175*C175*Inputs!$B$8/(D175+F175-C175-E175)*((EXP(-(C175+E175)*B175)-EXP(-G175*B175))/(G175-C175-E175)-(EXP(-(D175+F175)*B175)-EXP(-G175*B175))/(G175-D175-F175))</x:f>
        <x:v>0.5088055699077576</x:v>
      </x:c>
      <x:c r="K175" s="30" t="n">
        <x:f>E175*Inputs!$B$8/(C175+E175)*(1-EXP(-(C175+E175)*B175))</x:f>
        <x:v>0.07628955353272648</x:v>
      </x:c>
      <x:c r="L175" s="30" t="n">
        <x:f>Inputs!$B$8-H175-I175-J175-K175</x:f>
        <x:v>1.4149048765591599</x:v>
      </x:c>
      <x:c r="M175" s="30" t="n">
        <x:f>(Inputs!$B$8-H175)/Inputs!$B$8</x:f>
        <x:v>1</x:v>
      </x:c>
      <x:c r="N175" s="30" t="n">
        <x:f>J175/Inputs!$B$8</x:f>
        <x:v>0.2544027849538788</x:v>
      </x:c>
      <x:c r="O175" s="30" t="n">
        <x:f>J175/(Inputs!$B$8-H175)</x:f>
        <x:v>0.2544027849538788</x:v>
      </x:c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 ht="15" hidden="0" customHeight="1">
      <x:c r="A176" s="18" t="n">
        <x:v>423.15</x:v>
      </x:c>
      <x:c r="B176" s="50" t="n">
        <x:v>0.265</x:v>
      </x:c>
      <x:c r="C176" s="18" t="n">
        <x:f>VLOOKUP(A176,Inputs!$A$13:$F$15,2,FALSE)</x:f>
        <x:v>221.9</x:v>
      </x:c>
      <x:c r="D176" s="18" t="n">
        <x:f>VLOOKUP(A176,Inputs!$A$13:$F$15,3,FALSE)</x:f>
        <x:v>103.31</x:v>
      </x:c>
      <x:c r="E176" s="18" t="n">
        <x:f>VLOOKUP(A176,Inputs!$A$13:$F$15,4,FALSE)</x:f>
        <x:v>8.8</x:v>
      </x:c>
      <x:c r="F176" s="18" t="n">
        <x:f>VLOOKUP(A176,Inputs!$A$13:$F$15,5,FALSE)</x:f>
        <x:v>12.12</x:v>
      </x:c>
      <x:c r="G176" s="18" t="n">
        <x:f>VLOOKUP(A176,Inputs!$A$13:$F$15,6,FALSE)</x:f>
        <x:v>4.94</x:v>
      </x:c>
      <x:c r="H176" s="30" t="n">
        <x:f>Inputs!$B$8*EXP(-(C176+E176)*B176)</x:f>
        <x:v>5.626258696918623e-27</x:v>
      </x:c>
      <x:c r="I176" s="30" t="n">
        <x:f>C176*Inputs!$B$8/(D176+F176-C176-E176)*(EXP(-(C176+E176)*B176)-EXP(-(D176+F176)*B176))</x:f>
        <x:v>1.9992118278409777e-13</x:v>
      </x:c>
      <x:c r="J176" s="30" t="n">
        <x:f>D176*C176*Inputs!$B$8/(D176+F176-C176-E176)*((EXP(-(C176+E176)*B176)-EXP(-G176*B176))/(G176-C176-E176)-(EXP(-(D176+F176)*B176)-EXP(-G176*B176))/(G176-D176-F176))</x:f>
        <x:v>0.4963920108942599</x:v>
      </x:c>
      <x:c r="K176" s="30" t="n">
        <x:f>E176*Inputs!$B$8/(C176+E176)*(1-EXP(-(C176+E176)*B176))</x:f>
        <x:v>0.07628955353272648</x:v>
      </x:c>
      <x:c r="L176" s="30" t="n">
        <x:f>Inputs!$B$8-H176-I176-J176-K176</x:f>
        <x:v>1.427318435572814</x:v>
      </x:c>
      <x:c r="M176" s="30" t="n">
        <x:f>(Inputs!$B$8-H176)/Inputs!$B$8</x:f>
        <x:v>1</x:v>
      </x:c>
      <x:c r="N176" s="30" t="n">
        <x:f>J176/Inputs!$B$8</x:f>
        <x:v>0.24819600544712994</x:v>
      </x:c>
      <x:c r="O176" s="30" t="n">
        <x:f>J176/(Inputs!$B$8-H176)</x:f>
        <x:v>0.24819600544712994</x:v>
      </x:c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 ht="15" hidden="0" customHeight="1">
      <x:c r="A177" s="18" t="n">
        <x:v>423.15</x:v>
      </x:c>
      <x:c r="B177" s="50" t="n">
        <x:v>0.27</x:v>
      </x:c>
      <x:c r="C177" s="18" t="n">
        <x:f>VLOOKUP(A177,Inputs!$A$13:$F$15,2,FALSE)</x:f>
        <x:v>221.9</x:v>
      </x:c>
      <x:c r="D177" s="18" t="n">
        <x:f>VLOOKUP(A177,Inputs!$A$13:$F$15,3,FALSE)</x:f>
        <x:v>103.31</x:v>
      </x:c>
      <x:c r="E177" s="18" t="n">
        <x:f>VLOOKUP(A177,Inputs!$A$13:$F$15,4,FALSE)</x:f>
        <x:v>8.8</x:v>
      </x:c>
      <x:c r="F177" s="18" t="n">
        <x:f>VLOOKUP(A177,Inputs!$A$13:$F$15,5,FALSE)</x:f>
        <x:v>12.12</x:v>
      </x:c>
      <x:c r="G177" s="18" t="n">
        <x:f>VLOOKUP(A177,Inputs!$A$13:$F$15,6,FALSE)</x:f>
        <x:v>4.94</x:v>
      </x:c>
      <x:c r="H177" s="30" t="n">
        <x:f>Inputs!$B$8*EXP(-(C177+E177)*B177)</x:f>
        <x:v>1.775256095010203e-27</x:v>
      </x:c>
      <x:c r="I177" s="30" t="n">
        <x:f>C177*Inputs!$B$8/(D177+F177-C177-E177)*(EXP(-(C177+E177)*B177)-EXP(-(D177+F177)*B177))</x:f>
        <x:v>1.1225501501254072e-13</x:v>
      </x:c>
      <x:c r="J177" s="30" t="n">
        <x:f>D177*C177*Inputs!$B$8/(D177+F177-C177-E177)*((EXP(-(C177+E177)*B177)-EXP(-G177*B177))/(G177-C177-E177)-(EXP(-(D177+F177)*B177)-EXP(-G177*B177))/(G177-D177-F177))</x:f>
        <x:v>0.4842813110797693</x:v>
      </x:c>
      <x:c r="K177" s="30" t="n">
        <x:f>E177*Inputs!$B$8/(C177+E177)*(1-EXP(-(C177+E177)*B177))</x:f>
        <x:v>0.07628955353272648</x:v>
      </x:c>
      <x:c r="L177" s="30" t="n">
        <x:f>Inputs!$B$8-H177-I177-J177-K177</x:f>
        <x:v>1.439429135387392</x:v>
      </x:c>
      <x:c r="M177" s="30" t="n">
        <x:f>(Inputs!$B$8-H177)/Inputs!$B$8</x:f>
        <x:v>1</x:v>
      </x:c>
      <x:c r="N177" s="30" t="n">
        <x:f>J177/Inputs!$B$8</x:f>
        <x:v>0.24214065553988465</x:v>
      </x:c>
      <x:c r="O177" s="30" t="n">
        <x:f>J177/(Inputs!$B$8-H177)</x:f>
        <x:v>0.24214065553988465</x:v>
      </x:c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 ht="15" hidden="0" customHeight="1">
      <x:c r="A178" s="18" t="n">
        <x:v>423.15</x:v>
      </x:c>
      <x:c r="B178" s="50" t="n">
        <x:v>0.275</x:v>
      </x:c>
      <x:c r="C178" s="18" t="n">
        <x:f>VLOOKUP(A178,Inputs!$A$13:$F$15,2,FALSE)</x:f>
        <x:v>221.9</x:v>
      </x:c>
      <x:c r="D178" s="18" t="n">
        <x:f>VLOOKUP(A178,Inputs!$A$13:$F$15,3,FALSE)</x:f>
        <x:v>103.31</x:v>
      </x:c>
      <x:c r="E178" s="18" t="n">
        <x:f>VLOOKUP(A178,Inputs!$A$13:$F$15,4,FALSE)</x:f>
        <x:v>8.8</x:v>
      </x:c>
      <x:c r="F178" s="18" t="n">
        <x:f>VLOOKUP(A178,Inputs!$A$13:$F$15,5,FALSE)</x:f>
        <x:v>12.12</x:v>
      </x:c>
      <x:c r="G178" s="18" t="n">
        <x:f>VLOOKUP(A178,Inputs!$A$13:$F$15,6,FALSE)</x:f>
        <x:v>4.94</x:v>
      </x:c>
      <x:c r="H178" s="30" t="n">
        <x:f>Inputs!$B$8*EXP(-(C178+E178)*B178)</x:f>
        <x:v>5.601474039217038e-28</x:v>
      </x:c>
      <x:c r="I178" s="30" t="n">
        <x:f>C178*Inputs!$B$8/(D178+F178-C178-E178)*(EXP(-(C178+E178)*B178)-EXP(-(D178+F178)*B178))</x:f>
        <x:v>6.30307815309101e-14</x:v>
      </x:c>
      <x:c r="J178" s="30" t="n">
        <x:f>D178*C178*Inputs!$B$8/(D178+F178-C178-E178)*((EXP(-(C178+E178)*B178)-EXP(-G178*B178))/(G178-C178-E178)-(EXP(-(D178+F178)*B178)-EXP(-G178*B178))/(G178-D178-F178))</x:f>
        <x:v>0.4724660814718125</x:v>
      </x:c>
      <x:c r="K178" s="30" t="n">
        <x:f>E178*Inputs!$B$8/(C178+E178)*(1-EXP(-(C178+E178)*B178))</x:f>
        <x:v>0.07628955353272648</x:v>
      </x:c>
      <x:c r="L178" s="30" t="n">
        <x:f>Inputs!$B$8-H178-I178-J178-K178</x:f>
        <x:v>1.4512443649953979</x:v>
      </x:c>
      <x:c r="M178" s="30" t="n">
        <x:f>(Inputs!$B$8-H178)/Inputs!$B$8</x:f>
        <x:v>1</x:v>
      </x:c>
      <x:c r="N178" s="30" t="n">
        <x:f>J178/Inputs!$B$8</x:f>
        <x:v>0.23623304073590626</x:v>
      </x:c>
      <x:c r="O178" s="30" t="n">
        <x:f>J178/(Inputs!$B$8-H178)</x:f>
        <x:v>0.23623304073590626</x:v>
      </x:c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 ht="15" hidden="0" customHeight="1">
      <x:c r="A179" s="18" t="n">
        <x:v>423.15</x:v>
      </x:c>
      <x:c r="B179" s="50" t="n">
        <x:v>0.28</x:v>
      </x:c>
      <x:c r="C179" s="18" t="n">
        <x:f>VLOOKUP(A179,Inputs!$A$13:$F$15,2,FALSE)</x:f>
        <x:v>221.9</x:v>
      </x:c>
      <x:c r="D179" s="18" t="n">
        <x:f>VLOOKUP(A179,Inputs!$A$13:$F$15,3,FALSE)</x:f>
        <x:v>103.31</x:v>
      </x:c>
      <x:c r="E179" s="18" t="n">
        <x:f>VLOOKUP(A179,Inputs!$A$13:$F$15,4,FALSE)</x:f>
        <x:v>8.8</x:v>
      </x:c>
      <x:c r="F179" s="18" t="n">
        <x:f>VLOOKUP(A179,Inputs!$A$13:$F$15,5,FALSE)</x:f>
        <x:v>12.12</x:v>
      </x:c>
      <x:c r="G179" s="18" t="n">
        <x:f>VLOOKUP(A179,Inputs!$A$13:$F$15,6,FALSE)</x:f>
        <x:v>4.94</x:v>
      </x:c>
      <x:c r="H179" s="30" t="n">
        <x:f>Inputs!$B$8*EXP(-(C179+E179)*B179)</x:f>
        <x:v>1.7674357801228608e-28</x:v>
      </x:c>
      <x:c r="I179" s="30" t="n">
        <x:f>C179*Inputs!$B$8/(D179+F179-C179-E179)*(EXP(-(C179+E179)*B179)-EXP(-(D179+F179)*B179))</x:f>
        <x:v>3.539155395376719e-14</x:v>
      </x:c>
      <x:c r="J179" s="30" t="n">
        <x:f>D179*C179*Inputs!$B$8/(D179+F179-C179-E179)*((EXP(-(C179+E179)*B179)-EXP(-G179*B179))/(G179-C179-E179)-(EXP(-(D179+F179)*B179)-EXP(-G179*B179))/(G179-D179-F179))</x:f>
        <x:v>0.460939113350488</x:v>
      </x:c>
      <x:c r="K179" s="30" t="n">
        <x:f>E179*Inputs!$B$8/(C179+E179)*(1-EXP(-(C179+E179)*B179))</x:f>
        <x:v>0.07628955353272648</x:v>
      </x:c>
      <x:c r="L179" s="30" t="n">
        <x:f>Inputs!$B$8-H179-I179-J179-K179</x:f>
        <x:v>1.4627713331167502</x:v>
      </x:c>
      <x:c r="M179" s="30" t="n">
        <x:f>(Inputs!$B$8-H179)/Inputs!$B$8</x:f>
        <x:v>1</x:v>
      </x:c>
      <x:c r="N179" s="30" t="n">
        <x:f>J179/Inputs!$B$8</x:f>
        <x:v>0.230469556675244</x:v>
      </x:c>
      <x:c r="O179" s="30" t="n">
        <x:f>J179/(Inputs!$B$8-H179)</x:f>
        <x:v>0.230469556675244</x:v>
      </x:c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 ht="15" hidden="0" customHeight="1">
      <x:c r="A180" s="18" t="n">
        <x:v>423.15</x:v>
      </x:c>
      <x:c r="B180" s="50" t="n">
        <x:v>0.28500000000000003</x:v>
      </x:c>
      <x:c r="C180" s="18" t="n">
        <x:f>VLOOKUP(A180,Inputs!$A$13:$F$15,2,FALSE)</x:f>
        <x:v>221.9</x:v>
      </x:c>
      <x:c r="D180" s="18" t="n">
        <x:f>VLOOKUP(A180,Inputs!$A$13:$F$15,3,FALSE)</x:f>
        <x:v>103.31</x:v>
      </x:c>
      <x:c r="E180" s="18" t="n">
        <x:f>VLOOKUP(A180,Inputs!$A$13:$F$15,4,FALSE)</x:f>
        <x:v>8.8</x:v>
      </x:c>
      <x:c r="F180" s="18" t="n">
        <x:f>VLOOKUP(A180,Inputs!$A$13:$F$15,5,FALSE)</x:f>
        <x:v>12.12</x:v>
      </x:c>
      <x:c r="G180" s="18" t="n">
        <x:f>VLOOKUP(A180,Inputs!$A$13:$F$15,6,FALSE)</x:f>
        <x:v>4.94</x:v>
      </x:c>
      <x:c r="H180" s="30" t="n">
        <x:f>Inputs!$B$8*EXP(-(C180+E180)*B180)</x:f>
        <x:v>5.576798562285566e-29</x:v>
      </x:c>
      <x:c r="I180" s="30" t="n">
        <x:f>C180*Inputs!$B$8/(D180+F180-C180-E180)*(EXP(-(C180+E180)*B180)-EXP(-(D180+F180)*B180))</x:f>
        <x:v>1.9872228470595217e-14</x:v>
      </x:c>
      <x:c r="J180" s="30" t="n">
        <x:f>D180*C180*Inputs!$B$8/(D180+F180-C180-E180)*((EXP(-(C180+E180)*B180)-EXP(-G180*B180))/(G180-C180-E180)-(EXP(-(D180+F180)*B180)-EXP(-G180*B180))/(G180-D180-F180))</x:f>
        <x:v>0.44969337387027847</x:v>
      </x:c>
      <x:c r="K180" s="30" t="n">
        <x:f>E180*Inputs!$B$8/(C180+E180)*(1-EXP(-(C180+E180)*B180))</x:f>
        <x:v>0.07628955353272648</x:v>
      </x:c>
      <x:c r="L180" s="30" t="n">
        <x:f>Inputs!$B$8-H180-I180-J180-K180</x:f>
        <x:v>1.4740170725969755</x:v>
      </x:c>
      <x:c r="M180" s="30" t="n">
        <x:f>(Inputs!$B$8-H180)/Inputs!$B$8</x:f>
        <x:v>1</x:v>
      </x:c>
      <x:c r="N180" s="30" t="n">
        <x:f>J180/Inputs!$B$8</x:f>
        <x:v>0.22484668693513923</x:v>
      </x:c>
      <x:c r="O180" s="30" t="n">
        <x:f>J180/(Inputs!$B$8-H180)</x:f>
        <x:v>0.22484668693513923</x:v>
      </x:c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 ht="15" hidden="0" customHeight="1">
      <x:c r="A181" s="18" t="n">
        <x:v>423.15</x:v>
      </x:c>
      <x:c r="B181" s="50" t="n">
        <x:v>0.29</x:v>
      </x:c>
      <x:c r="C181" s="18" t="n">
        <x:f>VLOOKUP(A181,Inputs!$A$13:$F$15,2,FALSE)</x:f>
        <x:v>221.9</x:v>
      </x:c>
      <x:c r="D181" s="18" t="n">
        <x:f>VLOOKUP(A181,Inputs!$A$13:$F$15,3,FALSE)</x:f>
        <x:v>103.31</x:v>
      </x:c>
      <x:c r="E181" s="18" t="n">
        <x:f>VLOOKUP(A181,Inputs!$A$13:$F$15,4,FALSE)</x:f>
        <x:v>8.8</x:v>
      </x:c>
      <x:c r="F181" s="18" t="n">
        <x:f>VLOOKUP(A181,Inputs!$A$13:$F$15,5,FALSE)</x:f>
        <x:v>12.12</x:v>
      </x:c>
      <x:c r="G181" s="18" t="n">
        <x:f>VLOOKUP(A181,Inputs!$A$13:$F$15,6,FALSE)</x:f>
        <x:v>4.94</x:v>
      </x:c>
      <x:c r="H181" s="30" t="n">
        <x:f>Inputs!$B$8*EXP(-(C181+E181)*B181)</x:f>
        <x:v>1.7596499150961195e-29</x:v>
      </x:c>
      <x:c r="I181" s="30" t="n">
        <x:f>C181*Inputs!$B$8/(D181+F181-C181-E181)*(EXP(-(C181+E181)*B181)-EXP(-(D181+F181)*B181))</x:f>
        <x:v>1.1158183811409029e-14</x:v>
      </x:c>
      <x:c r="J181" s="30" t="n">
        <x:f>D181*C181*Inputs!$B$8/(D181+F181-C181-E181)*((EXP(-(C181+E181)*B181)-EXP(-G181*B181))/(G181-C181-E181)-(EXP(-(D181+F181)*B181)-EXP(-G181*B181))/(G181-D181-F181))</x:f>
        <x:v>0.43872200176916804</x:v>
      </x:c>
      <x:c r="K181" s="30" t="n">
        <x:f>E181*Inputs!$B$8/(C181+E181)*(1-EXP(-(C181+E181)*B181))</x:f>
        <x:v>0.07628955353272648</x:v>
      </x:c>
      <x:c r="L181" s="30" t="n">
        <x:f>Inputs!$B$8-H181-I181-J181-K181</x:f>
        <x:v>1.4849884446980943</x:v>
      </x:c>
      <x:c r="M181" s="30" t="n">
        <x:f>(Inputs!$B$8-H181)/Inputs!$B$8</x:f>
        <x:v>1</x:v>
      </x:c>
      <x:c r="N181" s="30" t="n">
        <x:f>J181/Inputs!$B$8</x:f>
        <x:v>0.21936100088458402</x:v>
      </x:c>
      <x:c r="O181" s="30" t="n">
        <x:f>J181/(Inputs!$B$8-H181)</x:f>
        <x:v>0.21936100088458402</x:v>
      </x:c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 ht="15" hidden="0" customHeight="1">
      <x:c r="A182" s="18" t="n">
        <x:v>423.15</x:v>
      </x:c>
      <x:c r="B182" s="50" t="n">
        <x:v>0.295</x:v>
      </x:c>
      <x:c r="C182" s="18" t="n">
        <x:f>VLOOKUP(A182,Inputs!$A$13:$F$15,2,FALSE)</x:f>
        <x:v>221.9</x:v>
      </x:c>
      <x:c r="D182" s="18" t="n">
        <x:f>VLOOKUP(A182,Inputs!$A$13:$F$15,3,FALSE)</x:f>
        <x:v>103.31</x:v>
      </x:c>
      <x:c r="E182" s="18" t="n">
        <x:f>VLOOKUP(A182,Inputs!$A$13:$F$15,4,FALSE)</x:f>
        <x:v>8.8</x:v>
      </x:c>
      <x:c r="F182" s="18" t="n">
        <x:f>VLOOKUP(A182,Inputs!$A$13:$F$15,5,FALSE)</x:f>
        <x:v>12.12</x:v>
      </x:c>
      <x:c r="G182" s="18" t="n">
        <x:f>VLOOKUP(A182,Inputs!$A$13:$F$15,6,FALSE)</x:f>
        <x:v>4.94</x:v>
      </x:c>
      <x:c r="H182" s="30" t="n">
        <x:f>Inputs!$B$8*EXP(-(C182+E182)*B182)</x:f>
        <x:v>5.552231785163819e-30</x:v>
      </x:c>
      <x:c r="I182" s="30" t="n">
        <x:f>C182*Inputs!$B$8/(D182+F182-C182-E182)*(EXP(-(C182+E182)*B182)-EXP(-(D182+F182)*B182))</x:f>
        <x:v>6.265279515753289e-15</x:v>
      </x:c>
      <x:c r="J182" s="30" t="n">
        <x:f>D182*C182*Inputs!$B$8/(D182+F182-C182-E182)*((EXP(-(C182+E182)*B182)-EXP(-G182*B182))/(G182-C182-E182)-(EXP(-(D182+F182)*B182)-EXP(-G182*B182))/(G182-D182-F182))</x:f>
        <x:v>0.42801830318244266</x:v>
      </x:c>
      <x:c r="K182" s="30" t="n">
        <x:f>E182*Inputs!$B$8/(C182+E182)*(1-EXP(-(C182+E182)*B182))</x:f>
        <x:v>0.07628955353272648</x:v>
      </x:c>
      <x:c r="L182" s="30" t="n">
        <x:f>Inputs!$B$8-H182-I182-J182-K182</x:f>
        <x:v>1.4956921432848245</x:v>
      </x:c>
      <x:c r="M182" s="30" t="n">
        <x:f>(Inputs!$B$8-H182)/Inputs!$B$8</x:f>
        <x:v>1</x:v>
      </x:c>
      <x:c r="N182" s="30" t="n">
        <x:f>J182/Inputs!$B$8</x:f>
        <x:v>0.21400915159122133</x:v>
      </x:c>
      <x:c r="O182" s="30" t="n">
        <x:f>J182/(Inputs!$B$8-H182)</x:f>
        <x:v>0.21400915159122133</x:v>
      </x:c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 ht="15" hidden="0" customHeight="1">
      <x:c r="A183" s="18" t="n">
        <x:v>423.15</x:v>
      </x:c>
      <x:c r="B183" s="50" t="n">
        <x:v>0.3</x:v>
      </x:c>
      <x:c r="C183" s="18" t="n">
        <x:f>VLOOKUP(A183,Inputs!$A$13:$F$15,2,FALSE)</x:f>
        <x:v>221.9</x:v>
      </x:c>
      <x:c r="D183" s="18" t="n">
        <x:f>VLOOKUP(A183,Inputs!$A$13:$F$15,3,FALSE)</x:f>
        <x:v>103.31</x:v>
      </x:c>
      <x:c r="E183" s="18" t="n">
        <x:f>VLOOKUP(A183,Inputs!$A$13:$F$15,4,FALSE)</x:f>
        <x:v>8.8</x:v>
      </x:c>
      <x:c r="F183" s="18" t="n">
        <x:f>VLOOKUP(A183,Inputs!$A$13:$F$15,5,FALSE)</x:f>
        <x:v>12.12</x:v>
      </x:c>
      <x:c r="G183" s="18" t="n">
        <x:f>VLOOKUP(A183,Inputs!$A$13:$F$15,6,FALSE)</x:f>
        <x:v>4.94</x:v>
      </x:c>
      <x:c r="H183" s="30" t="n">
        <x:f>Inputs!$B$8*EXP(-(C183+E183)*B183)</x:f>
        <x:v>1.75189834817223e-30</x:v>
      </x:c>
      <x:c r="I183" s="30" t="n">
        <x:f>C183*Inputs!$B$8/(D183+F183-C183-E183)*(EXP(-(C183+E183)*B183)-EXP(-(D183+F183)*B183))</x:f>
        <x:v>3.517931598364767e-15</x:v>
      </x:c>
      <x:c r="J183" s="30" t="n">
        <x:f>D183*C183*Inputs!$B$8/(D183+F183-C183-E183)*((EXP(-(C183+E183)*B183)-EXP(-G183*B183))/(G183-C183-E183)-(EXP(-(D183+F183)*B183)-EXP(-G183*B183))/(G183-D183-F183))</x:f>
        <x:v>0.41757574755862475</x:v>
      </x:c>
      <x:c r="K183" s="30" t="n">
        <x:f>E183*Inputs!$B$8/(C183+E183)*(1-EXP(-(C183+E183)*B183))</x:f>
        <x:v>0.07628955353272648</x:v>
      </x:c>
      <x:c r="L183" s="30" t="n">
        <x:f>Inputs!$B$8-H183-I183-J183-K183</x:f>
        <x:v>1.506134698908645</x:v>
      </x:c>
      <x:c r="M183" s="30" t="n">
        <x:f>(Inputs!$B$8-H183)/Inputs!$B$8</x:f>
        <x:v>1</x:v>
      </x:c>
      <x:c r="N183" s="30" t="n">
        <x:f>J183/Inputs!$B$8</x:f>
        <x:v>0.20878787377931238</x:v>
      </x:c>
      <x:c r="O183" s="30" t="n">
        <x:f>J183/(Inputs!$B$8-H183)</x:f>
        <x:v>0.20878787377931238</x:v>
      </x:c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O1"/>
  </x:mergeCells>
  <x:pageMargins left="0.7" right="0.7" top="0.75" bottom="0.75" header="0.3" footer="0.3"/>
  <x:drawing xmlns:r="http://schemas.openxmlformats.org/officeDocument/2006/relationships" r:id="Rc4a6fb300b2748b9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</x:cols>
  <x:sheetData>
    <x:row r="1" ht="16.799999237060547" hidden="0" customHeight="1">
      <x:c r="A1" s="41" t="str">
        <x:v>Final Design Summary</x:v>
      </x:c>
      <x:c r="B1" s="41"/>
    </x:row>
    <x:row r="2"/>
    <x:row r="3" ht="15" hidden="0" customHeight="1">
      <x:c r="A3" s="47" t="str">
        <x:v>Decision item</x:v>
      </x:c>
      <x:c r="B3" s="31" t="str">
        <x:v>Selected value / result</x:v>
      </x:c>
    </x:row>
    <x:row r="4" ht="26.399999618530273" hidden="0" customHeight="1">
      <x:c r="A4" s="47" t="str">
        <x:v>Selected reactor</x:v>
      </x:c>
      <x:c r="B4" s="34" t="str">
        <x:v>Continuous liquid-phase Plug Flow Reactor (PFR)</x:v>
      </x:c>
    </x:row>
    <x:row r="5" ht="26.399999618530273" hidden="0" customHeight="1">
      <x:c r="A5" s="47" t="str">
        <x:v>Assigned design parameter</x:v>
      </x:c>
      <x:c r="B5" s="34" t="str">
        <x:v>Reaction temperature (Group 6)</x:v>
      </x:c>
    </x:row>
    <x:row r="6" ht="15" hidden="0" customHeight="1">
      <x:c r="A6" s="47" t="str">
        <x:v>Temperature values evaluated</x:v>
      </x:c>
      <x:c r="B6" s="34" t="str">
        <x:v>393.15 K, 403.15 K, 423.15 K</x:v>
      </x:c>
    </x:row>
    <x:row r="7" ht="15" hidden="0" customHeight="1">
      <x:c r="A7" s="47" t="str">
        <x:v>Selected temperature</x:v>
      </x:c>
      <x:c r="B7" s="34" t="n">
        <x:f>INDEX(Parametric_Study!$Q$4:$Q$6,MATCH(MAX(Parametric_Study!$R$4:$R$6),Parametric_Study!$R$4:$R$6,0))</x:f>
        <x:v>423.15</x:v>
      </x:c>
    </x:row>
    <x:row r="8" ht="15" hidden="0" customHeight="1">
      <x:c r="A8" s="47" t="str">
        <x:v>Maximum yield</x:v>
      </x:c>
      <x:c r="B8" s="34" t="n">
        <x:f>MAX(Parametric_Study!$R$4:$R$6)</x:f>
        <x:v>0.7417093351006522</x:v>
      </x:c>
    </x:row>
    <x:row r="9" ht="15" hidden="0" customHeight="1">
      <x:c r="A9" s="47" t="str">
        <x:v>Optimum residence time</x:v>
      </x:c>
      <x:c r="B9" s="34" t="n">
        <x:f>INDEX(Parametric_Study!$S$4:$S$6,MATCH(B7,Parametric_Study!$Q$4:$Q$6,0))</x:f>
        <x:v>0.035</x:v>
      </x:c>
    </x:row>
    <x:row r="10" ht="15" hidden="0" customHeight="1">
      <x:c r="A10" s="47" t="str">
        <x:v>Required sorbitol feed</x:v>
      </x:c>
      <x:c r="B10" s="34" t="n">
        <x:f>INDEX(Parametric_Study!$W$4:$W$6,MATCH(B7,Parametric_Study!$Q$4:$Q$6,0))</x:f>
        <x:v>5.7660336065892</x:v>
      </x:c>
    </x:row>
    <x:row r="11" ht="15" hidden="0" customHeight="1">
      <x:c r="A11" s="47" t="str">
        <x:v>Volumetric flow rate</x:v>
      </x:c>
      <x:c r="B11" s="34" t="n">
        <x:f>INDEX(Parametric_Study!$X$4:$X$6,MATCH(B7,Parametric_Study!$Q$4:$Q$6,0))</x:f>
        <x:v>2.8830168032946</x:v>
      </x:c>
    </x:row>
    <x:row r="12" ht="15" hidden="0" customHeight="1">
      <x:c r="A12" s="47" t="str">
        <x:v>Calculated reactor volume</x:v>
      </x:c>
      <x:c r="B12" s="34" t="n">
        <x:f>INDEX(Parametric_Study!$Y$4:$Y$6,MATCH(B7,Parametric_Study!$Q$4:$Q$6,0))</x:f>
        <x:v>0.10090558811531102</x:v>
      </x:c>
    </x:row>
    <x:row r="13" ht="26.399999618530273" hidden="0" customHeight="1">
      <x:c r="A13" s="47" t="str">
        <x:v>Suggested catalyst</x:v>
      </x:c>
      <x:c r="B13" s="34" t="str">
        <x:v>H-Beta zeolite or mesoporous carbon sulfonic acid catalyst</x:v>
      </x:c>
    </x:row>
    <x:row r="14" ht="39.599998474121094" hidden="0" customHeight="1">
      <x:c r="A14" s="47" t="str">
        <x:v>Heat management strategy</x:v>
      </x:c>
      <x:c r="B14" s="34" t="str">
        <x:v>Jacketed/tubular heat transfer with temperature control and water removal</x:v>
      </x:c>
    </x:row>
    <x:row r="15" ht="39.599998474121094" hidden="0" customHeight="1">
      <x:c r="A15" s="47" t="str">
        <x:v>Operating mode</x:v>
      </x:c>
      <x:c r="B15" s="34" t="str">
        <x:v>Steady-state, constant-density liquid operation</x:v>
      </x:c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40" hidden="0" customWidth="1"/>
    <x:col min="4" max="4" width="40" hidden="0" customWidth="1"/>
  </x:cols>
  <x:sheetData>
    <x:row r="1" ht="15" hidden="0" customHeight="1">
      <x:c r="A1" s="47" t="str">
        <x:v>Source</x:v>
      </x:c>
      <x:c r="B1" s="47" t="str">
        <x:v>Use in workbook/report</x:v>
      </x:c>
      <x:c r="C1" s="47" t="str">
        <x:v>URL/Details</x:v>
      </x:c>
      <x:c r="D1" s="47" t="str">
        <x:v>Notes</x:v>
      </x:c>
    </x:row>
    <x:row r="2" ht="26.399999618530273" hidden="0" customHeight="1">
      <x:c r="A2" s="14" t="str">
        <x:v>CHE 302 Final Report Assignment</x:v>
      </x:c>
      <x:c r="B2" s="14" t="str">
        <x:v>Project capacity, kinetic constants, assigned parameter</x:v>
      </x:c>
      <x:c r="C2" s="14" t="str">
        <x:v>Uploaded course file</x:v>
      </x:c>
      <x:c r="D2" s="14" t="str">
        <x:v>Contains Table 1 kinetic constants and Table 2 group parameter assignment</x:v>
      </x:c>
    </x:row>
    <x:row r="3" ht="26.399999618530273" hidden="0" customHeight="1">
      <x:c r="A3" s="14" t="str">
        <x:v>CHE 302 Final Report Format and Grading</x:v>
      </x:c>
      <x:c r="B3" s="14" t="str">
        <x:v>Report structure and grading</x:v>
      </x:c>
      <x:c r="C3" s="14" t="str">
        <x:v>Uploaded course template</x:v>
      </x:c>
      <x:c r="D3" s="14" t="str">
        <x:v>Used for section structure</x:v>
      </x:c>
    </x:row>
    <x:row r="4" ht="26.399999618530273" hidden="0" customHeight="1">
      <x:c r="A4" s="14" t="str">
        <x:v>Interim report Group 6</x:v>
      </x:c>
      <x:c r="B4" s="14" t="str">
        <x:v>Literature basis and reactor/catalyst selection</x:v>
      </x:c>
      <x:c r="C4" s="14" t="str">
        <x:v>Uploaded evaluated report</x:v>
      </x:c>
      <x:c r="D4" s="14" t="str">
        <x:v>Used for qualitative background and recommendations</x:v>
      </x:c>
    </x:row>
    <x:row r="5" ht="15" hidden="0" customHeight="1">
      <x:c r="A5" s="14" t="str">
        <x:v>Assumption</x:v>
      </x:c>
      <x:c r="B5" s="14" t="str">
        <x:v>Operating time = 8000 h/year</x:v>
      </x:c>
      <x:c r="C5" s="14" t="str">
        <x:v>Engineering assumption</x:v>
      </x:c>
      <x:c r="D5" s="14" t="str">
        <x:v>Can be changed in Inputs sheet</x:v>
      </x:c>
    </x:row>
    <x:row r="6" ht="15" hidden="0" customHeight="1">
      <x:c r="A6" s="14" t="str">
        <x:v>Assumption</x:v>
      </x:c>
      <x:c r="B6" s="14" t="str">
        <x:v>Cs0 = 2 kmol/m3</x:v>
      </x:c>
      <x:c r="C6" s="14" t="str">
        <x:v>Engineering assumption</x:v>
      </x:c>
      <x:c r="D6" s="14" t="str">
        <x:v>Editable in Inputs sheet; formulas update</x:v>
      </x:c>
    </x:row>
    <x:row r="7" ht="15" hidden="0" customHeight="1">
      <x:c r="A7" s="14" t="str">
        <x:v>Assumption</x:v>
      </x:c>
      <x:c r="B7" s="14" t="str">
        <x:v>PFR with first-order irreversible network</x:v>
      </x:c>
      <x:c r="C7" s="14" t="str">
        <x:v>Assignment model</x:v>
      </x:c>
      <x:c r="D7" s="14" t="str">
        <x:v>Matches given kinetic framework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